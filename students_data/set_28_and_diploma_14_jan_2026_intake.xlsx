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20" windowWidth="19140" windowHeight="8232" activeTab="2"/>
  </bookViews>
  <sheets>
    <sheet name="DNE " sheetId="1" r:id="rId1"/>
    <sheet name="DME" sheetId="2" r:id="rId2"/>
    <sheet name="CN" sheetId="3" r:id="rId3"/>
    <sheet name="CM" sheetId="4" r:id="rId4"/>
    <sheet name="Sheet1" sheetId="5" r:id="rId5"/>
    <sheet name="DNE 14" sheetId="6" r:id="rId6"/>
    <sheet name="DME 14" sheetId="7" r:id="rId7"/>
    <sheet name="SET 28 FIRST HOSPITAL ALLOCATIO" sheetId="8" r:id="rId8"/>
    <sheet name="Sheet3" sheetId="9" r:id="rId9"/>
    <sheet name="Sheet2" sheetId="10" r:id="rId10"/>
  </sheets>
  <calcPr calcId="144525"/>
</workbook>
</file>

<file path=xl/calcChain.xml><?xml version="1.0" encoding="utf-8"?>
<calcChain xmlns="http://schemas.openxmlformats.org/spreadsheetml/2006/main">
  <c r="A6" i="9" l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72" i="8"/>
  <c r="A73" i="8" s="1"/>
  <c r="A74" i="8" s="1"/>
  <c r="A75" i="8" s="1"/>
  <c r="A6" i="8"/>
  <c r="A7" i="8" s="1"/>
  <c r="A8" i="8" s="1"/>
  <c r="A9" i="8" s="1"/>
  <c r="A10" i="8" s="1"/>
  <c r="A11" i="8" s="1"/>
  <c r="A12" i="8" s="1"/>
  <c r="A13" i="8" s="1"/>
  <c r="A14" i="8" s="1"/>
  <c r="A15" i="8" l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7" i="7"/>
  <c r="A8" i="7" s="1"/>
  <c r="A9" i="7" s="1"/>
  <c r="A10" i="7" s="1"/>
  <c r="A11" i="7" s="1"/>
  <c r="A12" i="7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13" i="2" l="1"/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3" i="1"/>
  <c r="A14" i="1" s="1"/>
  <c r="A15" i="1" s="1"/>
  <c r="A16" i="1" s="1"/>
  <c r="A17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14" i="2"/>
  <c r="A15" i="2"/>
  <c r="A16" i="2" s="1"/>
  <c r="A17" i="2" s="1"/>
  <c r="A18" i="2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13" i="3"/>
  <c r="A14" i="3" s="1"/>
  <c r="A15" i="3" s="1"/>
  <c r="A16" i="3" s="1"/>
  <c r="A17" i="3" s="1"/>
  <c r="A18" i="3" s="1"/>
  <c r="A19" i="3" s="1"/>
  <c r="A20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62" i="3" s="1"/>
  <c r="A63" i="3" s="1"/>
  <c r="A64" i="3" s="1"/>
  <c r="A65" i="3" s="1"/>
  <c r="A76" i="8"/>
  <c r="A77" i="8" s="1"/>
  <c r="A78" i="8" s="1"/>
  <c r="A79" i="8" s="1"/>
  <c r="A80" i="8" s="1"/>
  <c r="A81" i="8" s="1"/>
</calcChain>
</file>

<file path=xl/sharedStrings.xml><?xml version="1.0" encoding="utf-8"?>
<sst xmlns="http://schemas.openxmlformats.org/spreadsheetml/2006/main" count="1516" uniqueCount="391">
  <si>
    <t>MINISTRY OF EDUCATION AND SPORTS</t>
  </si>
  <si>
    <t>HEALTH EDUCATION AND TRAINING DEPARTMENT</t>
  </si>
  <si>
    <t>VERIFICATION TOOL FOR DIPLOMA EXTENSION  PROGRAMS</t>
  </si>
  <si>
    <t>NAME OF THE INSTITUTION:……… …………………………………………………………………………..…</t>
  </si>
  <si>
    <t>FIRST NAME</t>
  </si>
  <si>
    <t>OTHER NAME</t>
  </si>
  <si>
    <t>SEX</t>
  </si>
  <si>
    <t>Index No. O'Level</t>
  </si>
  <si>
    <t>ID Former HTI</t>
  </si>
  <si>
    <t>NSIN/REG</t>
  </si>
  <si>
    <t>UNMEB Transcript/SLIP</t>
  </si>
  <si>
    <t>UNMEB Certificate</t>
  </si>
  <si>
    <r>
      <t xml:space="preserve">Date of </t>
    </r>
    <r>
      <rPr>
        <b/>
        <sz val="10"/>
        <color theme="1"/>
        <rFont val="Calibri"/>
        <family val="2"/>
        <scheme val="minor"/>
      </rPr>
      <t xml:space="preserve">Registration </t>
    </r>
  </si>
  <si>
    <t>Registration No.</t>
  </si>
  <si>
    <t>Practicing License</t>
  </si>
  <si>
    <t xml:space="preserve">Comment </t>
  </si>
  <si>
    <t>STUDENTS CONTACT</t>
  </si>
  <si>
    <t>DISTRICT</t>
  </si>
  <si>
    <t>PARENT/GUARDIAN CONTONTACT</t>
  </si>
  <si>
    <t>COURSE</t>
  </si>
  <si>
    <t>SURNAME</t>
  </si>
  <si>
    <t>NAME OF THE INSTITUTION: ………………………………………………………………………………..…</t>
  </si>
  <si>
    <t>SUR NAME</t>
  </si>
  <si>
    <t>Comment</t>
  </si>
  <si>
    <t>PARENT/GUARDIAN CONTACT</t>
  </si>
  <si>
    <t>VERIFIED BY: ………………………………………………………………………………… Date: ………………………………………</t>
  </si>
  <si>
    <t>VERIFICATION TOOL FOR CERTIFICATE PROGRAMS</t>
  </si>
  <si>
    <t>ID</t>
  </si>
  <si>
    <t>DOB</t>
  </si>
  <si>
    <t>INDEX NO</t>
  </si>
  <si>
    <t>ENG</t>
  </si>
  <si>
    <t>MATH</t>
  </si>
  <si>
    <t>BIO</t>
  </si>
  <si>
    <t>CHEM</t>
  </si>
  <si>
    <t>PHY</t>
  </si>
  <si>
    <t>COMMENT</t>
  </si>
  <si>
    <t xml:space="preserve">MUSANA </t>
  </si>
  <si>
    <t xml:space="preserve">JUSTINE </t>
  </si>
  <si>
    <t>F</t>
  </si>
  <si>
    <t>27/07/2001</t>
  </si>
  <si>
    <t>U1139/035</t>
  </si>
  <si>
    <t>IGANGA</t>
  </si>
  <si>
    <t>0772881329/0743588158</t>
  </si>
  <si>
    <t>KIRYA</t>
  </si>
  <si>
    <t>JOHN</t>
  </si>
  <si>
    <t>MICHEAL</t>
  </si>
  <si>
    <t>M</t>
  </si>
  <si>
    <t>U2615/039</t>
  </si>
  <si>
    <t>N13/U025/CN/037</t>
  </si>
  <si>
    <t>BUTEBO</t>
  </si>
  <si>
    <t>NYEDEI</t>
  </si>
  <si>
    <t>BABRA</t>
  </si>
  <si>
    <t>25/12/2006</t>
  </si>
  <si>
    <t>U1603/071</t>
  </si>
  <si>
    <t>C</t>
  </si>
  <si>
    <t>D</t>
  </si>
  <si>
    <t>KALIRO</t>
  </si>
  <si>
    <t>0772460385/0752443668</t>
  </si>
  <si>
    <t xml:space="preserve">                                          STUDENTS DATA CAPTURE FORM.</t>
  </si>
  <si>
    <t>PARENT/GUARDIAN CONT</t>
  </si>
  <si>
    <t xml:space="preserve">                                        STUDENT CERTIFICATE IN NURSING JAN  2026 INTAKE </t>
  </si>
  <si>
    <t>SIGNATURE</t>
  </si>
  <si>
    <r>
      <t xml:space="preserve">                                                 </t>
    </r>
    <r>
      <rPr>
        <b/>
        <sz val="18"/>
        <color theme="1"/>
        <rFont val="Times New Roman"/>
        <family val="1"/>
      </rPr>
      <t xml:space="preserve">  IGANGA SCHOOL OF NURSING AND MIDWIFERY</t>
    </r>
  </si>
  <si>
    <t>DOB (dd/m/yr)</t>
  </si>
  <si>
    <t>KISAKA</t>
  </si>
  <si>
    <t>SARAH</t>
  </si>
  <si>
    <t>U0812/149</t>
  </si>
  <si>
    <t>MBALE</t>
  </si>
  <si>
    <t>LYAGOBA</t>
  </si>
  <si>
    <t>PAUL</t>
  </si>
  <si>
    <t>U040/CN/89/1/30389</t>
  </si>
  <si>
    <t>SEERA</t>
  </si>
  <si>
    <t>ESTHER</t>
  </si>
  <si>
    <t>20/10/2003</t>
  </si>
  <si>
    <t>U0325/097</t>
  </si>
  <si>
    <t>NSIMBI</t>
  </si>
  <si>
    <t>ALINA</t>
  </si>
  <si>
    <t>NINA</t>
  </si>
  <si>
    <t>U2364/021</t>
  </si>
  <si>
    <t>B</t>
  </si>
  <si>
    <t>MAYUGE</t>
  </si>
  <si>
    <t>KWAGALA</t>
  </si>
  <si>
    <t>JOVIA</t>
  </si>
  <si>
    <t>31/07/2006</t>
  </si>
  <si>
    <t>U1350/088</t>
  </si>
  <si>
    <t>KAMULI</t>
  </si>
  <si>
    <t>KUTEESA</t>
  </si>
  <si>
    <t>America</t>
  </si>
  <si>
    <t>23/03/2003</t>
  </si>
  <si>
    <t>U3069/010T</t>
  </si>
  <si>
    <t>AKUKU</t>
  </si>
  <si>
    <t>BOSCO</t>
  </si>
  <si>
    <t>U1042/002</t>
  </si>
  <si>
    <t>NGORA</t>
  </si>
  <si>
    <t>KATAIKE</t>
  </si>
  <si>
    <t>U2222/025</t>
  </si>
  <si>
    <t>BUDAKA</t>
  </si>
  <si>
    <t>NYANZI</t>
  </si>
  <si>
    <t>DOREEN</t>
  </si>
  <si>
    <t>U1708/085</t>
  </si>
  <si>
    <t>AKINYI</t>
  </si>
  <si>
    <t>OLIVER</t>
  </si>
  <si>
    <t>27/12/2005</t>
  </si>
  <si>
    <t>U0036/246</t>
  </si>
  <si>
    <t>KAMPALA</t>
  </si>
  <si>
    <t>NALWADDA</t>
  </si>
  <si>
    <t>JOANITAH</t>
  </si>
  <si>
    <t>U1401/037</t>
  </si>
  <si>
    <t>JAN21/U041/CM/053</t>
  </si>
  <si>
    <t>WAKISO</t>
  </si>
  <si>
    <t>NABWIRE</t>
  </si>
  <si>
    <t>ANGELLA</t>
  </si>
  <si>
    <t>JUL19/U041/CN/124</t>
  </si>
  <si>
    <t xml:space="preserve">TINO </t>
  </si>
  <si>
    <t>CHRISTINE</t>
  </si>
  <si>
    <t>JOAN</t>
  </si>
  <si>
    <t>U3065/021</t>
  </si>
  <si>
    <t>25/12/2007</t>
  </si>
  <si>
    <t>BUKEDEA</t>
  </si>
  <si>
    <t>KAUMA</t>
  </si>
  <si>
    <t>U0812/146</t>
  </si>
  <si>
    <t>MAGEMBE</t>
  </si>
  <si>
    <t>INNOCENT</t>
  </si>
  <si>
    <t>U2650/058</t>
  </si>
  <si>
    <t>KAKUMIRO</t>
  </si>
  <si>
    <t>SIDA</t>
  </si>
  <si>
    <t>LINET</t>
  </si>
  <si>
    <t>U0133/107</t>
  </si>
  <si>
    <t>JAN19/U042/CN/083</t>
  </si>
  <si>
    <t>BUSIA</t>
  </si>
  <si>
    <t>NAMULAMBA</t>
  </si>
  <si>
    <t>ZAKIA</t>
  </si>
  <si>
    <t>U0078/152</t>
  </si>
  <si>
    <t>JUL18/U001/CN/058</t>
  </si>
  <si>
    <t>ALUPO</t>
  </si>
  <si>
    <t>CATHERINE</t>
  </si>
  <si>
    <t>U0050/055</t>
  </si>
  <si>
    <t>N17/U025/CM/026</t>
  </si>
  <si>
    <t>KUMI</t>
  </si>
  <si>
    <t>NAIGAGA</t>
  </si>
  <si>
    <t>U0531/072</t>
  </si>
  <si>
    <t>JUL19/U026/CN/055</t>
  </si>
  <si>
    <t>AKIROR</t>
  </si>
  <si>
    <t>GENAVIEVE</t>
  </si>
  <si>
    <t>U2970/102</t>
  </si>
  <si>
    <t>ISABIRYE</t>
  </si>
  <si>
    <t>JOSHUA</t>
  </si>
  <si>
    <t>20/10/2002</t>
  </si>
  <si>
    <t>U2221/041</t>
  </si>
  <si>
    <t>NALWADA</t>
  </si>
  <si>
    <t>HILDAH</t>
  </si>
  <si>
    <t>NORAH</t>
  </si>
  <si>
    <t>KAYUNGA</t>
  </si>
  <si>
    <t xml:space="preserve">  </t>
  </si>
  <si>
    <t>MUSIBA</t>
  </si>
  <si>
    <t>PIUS</t>
  </si>
  <si>
    <t>U3994/023</t>
  </si>
  <si>
    <t>U0674/127</t>
  </si>
  <si>
    <t>NGANDA</t>
  </si>
  <si>
    <t>AARON</t>
  </si>
  <si>
    <t>30/09/2004</t>
  </si>
  <si>
    <t>U2172/100</t>
  </si>
  <si>
    <t>BABIRYE</t>
  </si>
  <si>
    <t>GRACE</t>
  </si>
  <si>
    <t>MIRACLE</t>
  </si>
  <si>
    <t>U3738/072</t>
  </si>
  <si>
    <t>NAWAGUMA</t>
  </si>
  <si>
    <t>RASHIDA</t>
  </si>
  <si>
    <t>U1156/100</t>
  </si>
  <si>
    <t>MUNIALO</t>
  </si>
  <si>
    <t>TONNY</t>
  </si>
  <si>
    <t>EDRINE</t>
  </si>
  <si>
    <t>U1205/124</t>
  </si>
  <si>
    <t>N17/U041/CN/095</t>
  </si>
  <si>
    <t>KIBUULE</t>
  </si>
  <si>
    <t>DERRICK</t>
  </si>
  <si>
    <t>U0972/162</t>
  </si>
  <si>
    <t>OKIA</t>
  </si>
  <si>
    <t>NELSON</t>
  </si>
  <si>
    <t>U3215/126</t>
  </si>
  <si>
    <t>OTAPARACHU</t>
  </si>
  <si>
    <t>EMONG</t>
  </si>
  <si>
    <t>CHARLES</t>
  </si>
  <si>
    <t>U0114/006</t>
  </si>
  <si>
    <t>NAMUGAYA</t>
  </si>
  <si>
    <t>DINAH</t>
  </si>
  <si>
    <t>ALAYI</t>
  </si>
  <si>
    <t>VIVIAN</t>
  </si>
  <si>
    <t>SANDRA</t>
  </si>
  <si>
    <t>U1373/203</t>
  </si>
  <si>
    <t>SOROTI</t>
  </si>
  <si>
    <t>ARIKO</t>
  </si>
  <si>
    <t>EMMANUEL</t>
  </si>
  <si>
    <t>U2447/004</t>
  </si>
  <si>
    <t>N13/U041/CN/006</t>
  </si>
  <si>
    <t>NAMAGANDA</t>
  </si>
  <si>
    <t>SHARIFA</t>
  </si>
  <si>
    <t>U0732/093</t>
  </si>
  <si>
    <t>M13/U040/CM/026</t>
  </si>
  <si>
    <t>ODOI</t>
  </si>
  <si>
    <t>JOSEPH</t>
  </si>
  <si>
    <t>N13/U041/CN/065</t>
  </si>
  <si>
    <t>KAMPI</t>
  </si>
  <si>
    <t>TEDDY</t>
  </si>
  <si>
    <t>24/12/2006</t>
  </si>
  <si>
    <t>U2617/037</t>
  </si>
  <si>
    <t>TAHIYA</t>
  </si>
  <si>
    <t>NAMUGANZA</t>
  </si>
  <si>
    <t>FAIMAH</t>
  </si>
  <si>
    <t>U0393/132</t>
  </si>
  <si>
    <t>BIRABWA</t>
  </si>
  <si>
    <t>SALIMA</t>
  </si>
  <si>
    <t>U2236/288</t>
  </si>
  <si>
    <t>NAMUKISA</t>
  </si>
  <si>
    <t>JUDITH</t>
  </si>
  <si>
    <t>U1316/020</t>
  </si>
  <si>
    <t>KYOTYA</t>
  </si>
  <si>
    <t>MADINA</t>
  </si>
  <si>
    <t>23/11/2005</t>
  </si>
  <si>
    <t>U3408/017</t>
  </si>
  <si>
    <t>JINJA</t>
  </si>
  <si>
    <t>NAKAZIBWE</t>
  </si>
  <si>
    <t>CISSY</t>
  </si>
  <si>
    <t>U0950/009</t>
  </si>
  <si>
    <t>JUL18/U011/CN/2000</t>
  </si>
  <si>
    <t>NAKISIGE</t>
  </si>
  <si>
    <t>NAJJUMA</t>
  </si>
  <si>
    <t>25/02/2005</t>
  </si>
  <si>
    <t>U0975/011</t>
  </si>
  <si>
    <t>MULERO</t>
  </si>
  <si>
    <t>REAGAN</t>
  </si>
  <si>
    <t>RONALD</t>
  </si>
  <si>
    <t>U2094/064</t>
  </si>
  <si>
    <t>JUL18/U041/CN/108</t>
  </si>
  <si>
    <t>KAUDHA</t>
  </si>
  <si>
    <t>PRISCILLA</t>
  </si>
  <si>
    <t>JAN21/U041/CM/030</t>
  </si>
  <si>
    <t>OGWEDHI</t>
  </si>
  <si>
    <t>LAVENDA</t>
  </si>
  <si>
    <t>18/12/2004</t>
  </si>
  <si>
    <t>U3502/023</t>
  </si>
  <si>
    <t>NAMAYINGO</t>
  </si>
  <si>
    <t>IKASILON</t>
  </si>
  <si>
    <t>BENNA</t>
  </si>
  <si>
    <t>23/08/2003</t>
  </si>
  <si>
    <t>U1445/151</t>
  </si>
  <si>
    <t>TORORO</t>
  </si>
  <si>
    <t>NANTONGO</t>
  </si>
  <si>
    <t>MUNAWARAH</t>
  </si>
  <si>
    <t>U3501/042</t>
  </si>
  <si>
    <t>MIREMBE</t>
  </si>
  <si>
    <t>27/12/2008</t>
  </si>
  <si>
    <t>U3888/105</t>
  </si>
  <si>
    <t>PALLISA</t>
  </si>
  <si>
    <t>ASABAWEBWA</t>
  </si>
  <si>
    <t>VIOLET</t>
  </si>
  <si>
    <t>U1708/029</t>
  </si>
  <si>
    <t>N17/U007/CM/021</t>
  </si>
  <si>
    <t>LUUKA</t>
  </si>
  <si>
    <t>ERIMIRWA</t>
  </si>
  <si>
    <t>PATRICIA</t>
  </si>
  <si>
    <t>U0124/028</t>
  </si>
  <si>
    <t>JAN21/U013/CM/019</t>
  </si>
  <si>
    <t>NANTAMI</t>
  </si>
  <si>
    <t>BEATRICE</t>
  </si>
  <si>
    <t>U1476/245</t>
  </si>
  <si>
    <t>OWORI</t>
  </si>
  <si>
    <t>ISAAC</t>
  </si>
  <si>
    <t>OKETCH</t>
  </si>
  <si>
    <t>U0132/009</t>
  </si>
  <si>
    <t>N17/U041/CN/150</t>
  </si>
  <si>
    <t>AWOR</t>
  </si>
  <si>
    <t>MARGARET</t>
  </si>
  <si>
    <t>U0310/176</t>
  </si>
  <si>
    <t>NAFULA</t>
  </si>
  <si>
    <t>20/12/2003</t>
  </si>
  <si>
    <t>U1245/001</t>
  </si>
  <si>
    <t>BUYINZA</t>
  </si>
  <si>
    <t>ELIJAH</t>
  </si>
  <si>
    <t>26/12/2004</t>
  </si>
  <si>
    <t>U1581/003</t>
  </si>
  <si>
    <t>MBATIA</t>
  </si>
  <si>
    <t>SHAFIIQ</t>
  </si>
  <si>
    <t>SWALEH</t>
  </si>
  <si>
    <t>U3060/024</t>
  </si>
  <si>
    <t>JAN21/U077/CN/086</t>
  </si>
  <si>
    <t>NAHALAMBA</t>
  </si>
  <si>
    <t>31/01/2005</t>
  </si>
  <si>
    <t>U1740/055</t>
  </si>
  <si>
    <t>BUTALEJA</t>
  </si>
  <si>
    <t>SHUBE</t>
  </si>
  <si>
    <t>BIRUNGI</t>
  </si>
  <si>
    <t>U1768/115</t>
  </si>
  <si>
    <t>BUGIRI</t>
  </si>
  <si>
    <t>MBULANYINA</t>
  </si>
  <si>
    <t>U1137/061</t>
  </si>
  <si>
    <t xml:space="preserve">                      </t>
  </si>
  <si>
    <t>issued back on 19/03/2026</t>
  </si>
  <si>
    <t>PROGRAM: ……………………………………………………… YEAR OF ADMISSION ……………………………</t>
  </si>
  <si>
    <r>
      <t xml:space="preserve">PROGRAM: </t>
    </r>
    <r>
      <rPr>
        <b/>
        <i/>
        <sz val="12"/>
        <color theme="1"/>
        <rFont val="Times New Roman"/>
        <family val="1"/>
      </rPr>
      <t xml:space="preserve">CERTIFICATE IN NURSING </t>
    </r>
    <r>
      <rPr>
        <b/>
        <sz val="12"/>
        <color theme="1"/>
        <rFont val="Times New Roman"/>
        <family val="1"/>
      </rPr>
      <t xml:space="preserve"> YEAR OF ADMISSION </t>
    </r>
    <r>
      <rPr>
        <b/>
        <i/>
        <sz val="12"/>
        <color theme="1"/>
        <rFont val="Times New Roman"/>
        <family val="1"/>
      </rPr>
      <t>JANUARY 2026 INTAKE</t>
    </r>
  </si>
  <si>
    <r>
      <t xml:space="preserve">PROGRAM: </t>
    </r>
    <r>
      <rPr>
        <b/>
        <i/>
        <sz val="12"/>
        <color theme="1"/>
        <rFont val="Times New Roman"/>
        <family val="1"/>
      </rPr>
      <t xml:space="preserve">CERTIFICATE IN MIDWIFERY </t>
    </r>
    <r>
      <rPr>
        <b/>
        <sz val="12"/>
        <color theme="1"/>
        <rFont val="Times New Roman"/>
        <family val="1"/>
      </rPr>
      <t xml:space="preserve"> YEAR OF ADMISSION: </t>
    </r>
    <r>
      <rPr>
        <b/>
        <i/>
        <sz val="12"/>
        <color theme="1"/>
        <rFont val="Times New Roman"/>
        <family val="1"/>
      </rPr>
      <t>JANUARY 2026 INTAKE</t>
    </r>
  </si>
  <si>
    <t xml:space="preserve">NABWAMI </t>
  </si>
  <si>
    <t>EDITH</t>
  </si>
  <si>
    <t>U2999/025</t>
  </si>
  <si>
    <t>MUKONO</t>
  </si>
  <si>
    <t xml:space="preserve">NAISIGA </t>
  </si>
  <si>
    <t>PROSSY</t>
  </si>
  <si>
    <t>MUKASA</t>
  </si>
  <si>
    <t>IBRAHIM</t>
  </si>
  <si>
    <t>21/07/2007</t>
  </si>
  <si>
    <t>U1039/103</t>
  </si>
  <si>
    <t>FLORENCE</t>
  </si>
  <si>
    <t>U2481/011</t>
  </si>
  <si>
    <t>BUIKWE</t>
  </si>
  <si>
    <t>KANTONO</t>
  </si>
  <si>
    <t>TAGONZA</t>
  </si>
  <si>
    <t>NAMUTUMBA</t>
  </si>
  <si>
    <t>BAMUTYA</t>
  </si>
  <si>
    <t>U0549/010</t>
  </si>
  <si>
    <t>ADEKE</t>
  </si>
  <si>
    <t>U0079/022</t>
  </si>
  <si>
    <t>28/1/2004</t>
  </si>
  <si>
    <t>16/09/2004</t>
  </si>
  <si>
    <t>U0537/176</t>
  </si>
  <si>
    <t>U3046/030</t>
  </si>
  <si>
    <t>15/03/2002</t>
  </si>
  <si>
    <t>U2611/102</t>
  </si>
  <si>
    <t>26/12/2007</t>
  </si>
  <si>
    <t>25/10/2003</t>
  </si>
  <si>
    <t>NAIWUMBWE</t>
  </si>
  <si>
    <t>GERTRUDE</t>
  </si>
  <si>
    <t>REGINA</t>
  </si>
  <si>
    <t>U3181/132</t>
  </si>
  <si>
    <t>U3972/036</t>
  </si>
  <si>
    <t>BUVUMA</t>
  </si>
  <si>
    <t>AMERIA</t>
  </si>
  <si>
    <t>NAKAZIBA</t>
  </si>
  <si>
    <t>SHAMINA</t>
  </si>
  <si>
    <t>NABIONKE</t>
  </si>
  <si>
    <t>15/10/2006</t>
  </si>
  <si>
    <t>U0739/080</t>
  </si>
  <si>
    <t>NAME OF THE INSTITUTION: ……………………………………………………………………</t>
  </si>
  <si>
    <t>NANGOBI</t>
  </si>
  <si>
    <t>JAMIRA</t>
  </si>
  <si>
    <t>U3636/093</t>
  </si>
  <si>
    <t>0743543520/0743303017</t>
  </si>
  <si>
    <t>VERIFIED BY: ………………………………………………………………………………… Date: ………………………………………………</t>
  </si>
  <si>
    <t>MoES - HET DATA JAN 2026</t>
  </si>
  <si>
    <t>U1604/020</t>
  </si>
  <si>
    <t>U1198/011</t>
  </si>
  <si>
    <t>U0078/268</t>
  </si>
  <si>
    <t>U0051/129</t>
  </si>
  <si>
    <t>MUGUNGA</t>
  </si>
  <si>
    <t>FRED</t>
  </si>
  <si>
    <t>SAJJABI</t>
  </si>
  <si>
    <t>MUGOMBESYA</t>
  </si>
  <si>
    <t>JULIUS</t>
  </si>
  <si>
    <t>U2606/017</t>
  </si>
  <si>
    <t>N15/U041/CN/046</t>
  </si>
  <si>
    <t>U0916/056</t>
  </si>
  <si>
    <t>JUL18/U041/CN/103</t>
  </si>
  <si>
    <t>SYLVIA</t>
  </si>
  <si>
    <t>U1768/156</t>
  </si>
  <si>
    <t>JAN21/U096/CN/271</t>
  </si>
  <si>
    <t>MOROTO</t>
  </si>
  <si>
    <t>KIBUKU</t>
  </si>
  <si>
    <t xml:space="preserve">NIN/LEARNER'S NO. </t>
  </si>
  <si>
    <t>NIN</t>
  </si>
  <si>
    <t>IGANGA SCHOOL OF NURSING AND MIDWIFERY</t>
  </si>
  <si>
    <t>DIPLOMA EXTENSION DATA CAPTURE FORM  JAN 2026 INTAKE</t>
  </si>
  <si>
    <t>DIPLOAM NURSES SET14</t>
  </si>
  <si>
    <t>DIPLOAM MIDWIVES SET14</t>
  </si>
  <si>
    <t>GREEN (1)</t>
  </si>
  <si>
    <t>GREEN (2)</t>
  </si>
  <si>
    <t>CREAM (1)</t>
  </si>
  <si>
    <t>CREAM (2)</t>
  </si>
  <si>
    <t>CAP</t>
  </si>
  <si>
    <t>BELT</t>
  </si>
  <si>
    <t>SWEATER</t>
  </si>
  <si>
    <t>COMMENT ISSUING OFFICER</t>
  </si>
  <si>
    <r>
      <t xml:space="preserve">PROGRAM: </t>
    </r>
    <r>
      <rPr>
        <b/>
        <i/>
        <sz val="12"/>
        <color theme="1"/>
        <rFont val="Times New Roman"/>
        <family val="1"/>
      </rPr>
      <t xml:space="preserve">CERTIFICATE IN MIDWIFERY </t>
    </r>
    <r>
      <rPr>
        <b/>
        <sz val="12"/>
        <color theme="1"/>
        <rFont val="Times New Roman"/>
        <family val="1"/>
      </rPr>
      <t xml:space="preserve"> YEAR OF ADMISSION </t>
    </r>
    <r>
      <rPr>
        <b/>
        <i/>
        <sz val="12"/>
        <color theme="1"/>
        <rFont val="Times New Roman"/>
        <family val="1"/>
      </rPr>
      <t>JANUARY 2026 INTAKE</t>
    </r>
  </si>
  <si>
    <r>
      <t>PROGRAM: DIPLOMA</t>
    </r>
    <r>
      <rPr>
        <b/>
        <i/>
        <sz val="12"/>
        <color theme="1"/>
        <rFont val="Times New Roman"/>
        <family val="1"/>
      </rPr>
      <t xml:space="preserve"> IN NURSING </t>
    </r>
    <r>
      <rPr>
        <b/>
        <sz val="12"/>
        <color theme="1"/>
        <rFont val="Times New Roman"/>
        <family val="1"/>
      </rPr>
      <t xml:space="preserve"> YEAR OF ADMISSION </t>
    </r>
    <r>
      <rPr>
        <b/>
        <i/>
        <sz val="12"/>
        <color theme="1"/>
        <rFont val="Times New Roman"/>
        <family val="1"/>
      </rPr>
      <t>JANUARY 2026 INTAKE</t>
    </r>
  </si>
  <si>
    <t>T/SHIRT (1)</t>
  </si>
  <si>
    <t>T/SHIRT (2)</t>
  </si>
  <si>
    <t>BLACK SKIRT</t>
  </si>
  <si>
    <t>BLACK TROUSER</t>
  </si>
  <si>
    <t>COMMENT BY THE ISSUING OFFICER</t>
  </si>
  <si>
    <t>BLUE (1)</t>
  </si>
  <si>
    <t>BLUE (2)</t>
  </si>
  <si>
    <t>27/04/2026 TO 22/05/2026</t>
  </si>
  <si>
    <t>JUL18/U011/CN/233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</si>
</sst>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textRotation="90" wrapText="1"/>
    </xf>
    <xf numFmtId="0" fontId="7" fillId="0" borderId="1" xfId="0" applyFont="1" applyBorder="1" applyAlignment="1">
      <alignment textRotation="90"/>
    </xf>
    <xf numFmtId="0" fontId="7" fillId="0" borderId="1" xfId="0" applyFont="1" applyBorder="1"/>
    <xf numFmtId="0" fontId="7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/>
    <xf numFmtId="0" fontId="6" fillId="0" borderId="1" xfId="0" applyFont="1" applyBorder="1" applyAlignment="1">
      <alignment textRotation="90"/>
    </xf>
    <xf numFmtId="0" fontId="5" fillId="0" borderId="1" xfId="0" applyFont="1" applyBorder="1"/>
    <xf numFmtId="0" fontId="9" fillId="0" borderId="0" xfId="0" applyFont="1" applyBorder="1"/>
    <xf numFmtId="0" fontId="4" fillId="0" borderId="0" xfId="0" applyFont="1" applyBorder="1"/>
    <xf numFmtId="0" fontId="0" fillId="0" borderId="0" xfId="0" applyAlignment="1"/>
    <xf numFmtId="0" fontId="10" fillId="0" borderId="0" xfId="0" applyFont="1" applyBorder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/>
    <xf numFmtId="0" fontId="0" fillId="0" borderId="0" xfId="0" applyFont="1"/>
    <xf numFmtId="0" fontId="9" fillId="0" borderId="1" xfId="0" applyFont="1" applyBorder="1"/>
    <xf numFmtId="0" fontId="9" fillId="0" borderId="0" xfId="0" applyFont="1"/>
    <xf numFmtId="14" fontId="9" fillId="0" borderId="1" xfId="0" applyNumberFormat="1" applyFont="1" applyBorder="1"/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/>
    <xf numFmtId="0" fontId="15" fillId="0" borderId="1" xfId="0" applyFont="1" applyBorder="1" applyAlignment="1">
      <alignment textRotation="90"/>
    </xf>
    <xf numFmtId="0" fontId="15" fillId="0" borderId="1" xfId="0" applyFont="1" applyBorder="1"/>
    <xf numFmtId="0" fontId="15" fillId="0" borderId="1" xfId="0" applyFont="1" applyBorder="1" applyAlignment="1">
      <alignment horizontal="center" textRotation="90" wrapText="1"/>
    </xf>
    <xf numFmtId="0" fontId="14" fillId="0" borderId="1" xfId="0" applyFont="1" applyBorder="1" applyAlignment="1">
      <alignment horizontal="center" textRotation="90" wrapText="1"/>
    </xf>
    <xf numFmtId="0" fontId="14" fillId="0" borderId="1" xfId="0" applyFont="1" applyBorder="1"/>
    <xf numFmtId="0" fontId="4" fillId="0" borderId="1" xfId="0" applyFont="1" applyBorder="1"/>
    <xf numFmtId="0" fontId="4" fillId="0" borderId="0" xfId="0" applyFont="1" applyAlignment="1"/>
    <xf numFmtId="0" fontId="4" fillId="0" borderId="1" xfId="0" applyFont="1" applyBorder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9" fillId="0" borderId="0" xfId="0" applyFont="1" applyBorder="1"/>
    <xf numFmtId="0" fontId="4" fillId="0" borderId="0" xfId="0" applyFont="1" applyBorder="1" applyAlignment="1">
      <alignment horizontal="center"/>
    </xf>
    <xf numFmtId="0" fontId="9" fillId="0" borderId="0" xfId="0" applyFont="1" applyBorder="1"/>
    <xf numFmtId="0" fontId="4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2" xfId="0" applyFont="1" applyBorder="1"/>
    <xf numFmtId="14" fontId="9" fillId="0" borderId="0" xfId="0" applyNumberFormat="1" applyFont="1" applyBorder="1"/>
    <xf numFmtId="0" fontId="9" fillId="0" borderId="1" xfId="0" applyFont="1" applyFill="1" applyBorder="1"/>
    <xf numFmtId="0" fontId="4" fillId="0" borderId="0" xfId="0" applyFont="1" applyBorder="1" applyAlignment="1">
      <alignment horizontal="center"/>
    </xf>
    <xf numFmtId="0" fontId="9" fillId="0" borderId="0" xfId="0" applyFont="1" applyBorder="1"/>
    <xf numFmtId="1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4" fillId="0" borderId="0" xfId="0" applyFont="1"/>
    <xf numFmtId="0" fontId="9" fillId="0" borderId="4" xfId="0" applyFont="1" applyBorder="1"/>
    <xf numFmtId="0" fontId="4" fillId="0" borderId="0" xfId="0" applyFont="1" applyBorder="1" applyAlignment="1"/>
    <xf numFmtId="0" fontId="0" fillId="0" borderId="0" xfId="0" applyFont="1" applyBorder="1"/>
    <xf numFmtId="0" fontId="0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textRotation="90"/>
    </xf>
    <xf numFmtId="0" fontId="12" fillId="0" borderId="0" xfId="0" applyFont="1" applyBorder="1" applyAlignment="1">
      <alignment textRotation="90"/>
    </xf>
    <xf numFmtId="0" fontId="12" fillId="0" borderId="0" xfId="0" applyFont="1" applyBorder="1"/>
    <xf numFmtId="0" fontId="12" fillId="0" borderId="0" xfId="0" applyFont="1" applyBorder="1" applyAlignment="1">
      <alignment horizontal="center" textRotation="90" wrapText="1"/>
    </xf>
    <xf numFmtId="0" fontId="11" fillId="0" borderId="0" xfId="0" applyFont="1" applyBorder="1" applyAlignment="1">
      <alignment horizontal="center" textRotation="90" wrapText="1"/>
    </xf>
    <xf numFmtId="0" fontId="13" fillId="0" borderId="0" xfId="0" applyFont="1" applyBorder="1" applyAlignment="1">
      <alignment horizontal="center" wrapText="1"/>
    </xf>
    <xf numFmtId="0" fontId="13" fillId="0" borderId="0" xfId="0" applyFont="1" applyBorder="1"/>
    <xf numFmtId="0" fontId="5" fillId="0" borderId="0" xfId="0" applyFont="1" applyAlignment="1"/>
    <xf numFmtId="0" fontId="0" fillId="0" borderId="0" xfId="0" applyBorder="1"/>
    <xf numFmtId="14" fontId="4" fillId="0" borderId="0" xfId="0" applyNumberFormat="1" applyFont="1" applyBorder="1"/>
    <xf numFmtId="0" fontId="5" fillId="0" borderId="1" xfId="0" applyFont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5" fillId="0" borderId="1" xfId="0" applyFont="1" applyBorder="1" applyAlignment="1">
      <alignment horizontal="right" textRotation="255"/>
    </xf>
    <xf numFmtId="0" fontId="9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17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9" fillId="0" borderId="0" xfId="0" applyFont="1" applyBorder="1"/>
    <xf numFmtId="0" fontId="18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 textRotation="90" wrapText="1"/>
    </xf>
    <xf numFmtId="0" fontId="19" fillId="0" borderId="1" xfId="0" applyFont="1" applyBorder="1"/>
    <xf numFmtId="0" fontId="14" fillId="0" borderId="1" xfId="0" applyFont="1" applyBorder="1" applyAlignment="1">
      <alignment horizontal="right"/>
    </xf>
    <xf numFmtId="0" fontId="4" fillId="0" borderId="0" xfId="0" applyFont="1" applyBorder="1" applyAlignment="1">
      <alignment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9" fillId="0" borderId="0" xfId="0" applyFont="1" applyBorder="1"/>
    <xf numFmtId="0" fontId="10" fillId="0" borderId="0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563881</xdr:colOff>
      <xdr:row>0</xdr:row>
      <xdr:rowOff>7620</xdr:rowOff>
    </xdr:from>
    <xdr:to>
      <xdr:col>5</xdr:col>
      <xdr:colOff>213360</xdr:colOff>
      <xdr:row>2</xdr:row>
      <xdr:rowOff>114300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9361" y="7620"/>
          <a:ext cx="457199" cy="47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0</xdr:row>
      <xdr:rowOff>7620</xdr:rowOff>
    </xdr:from>
    <xdr:to>
      <xdr:col>4</xdr:col>
      <xdr:colOff>396240</xdr:colOff>
      <xdr:row>2</xdr:row>
      <xdr:rowOff>7620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9841" y="7620"/>
          <a:ext cx="396239" cy="365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45720</xdr:rowOff>
    </xdr:from>
    <xdr:to>
      <xdr:col>3</xdr:col>
      <xdr:colOff>472440</xdr:colOff>
      <xdr:row>2</xdr:row>
      <xdr:rowOff>91440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31721" y="45720"/>
          <a:ext cx="472439" cy="4114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1005841</xdr:colOff>
      <xdr:row>0</xdr:row>
      <xdr:rowOff>45720</xdr:rowOff>
    </xdr:from>
    <xdr:to>
      <xdr:col>3</xdr:col>
      <xdr:colOff>350520</xdr:colOff>
      <xdr:row>2</xdr:row>
      <xdr:rowOff>60960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2661" y="45720"/>
          <a:ext cx="40385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34"/>
  <sheetViews>
    <sheetView topLeftCell="A7" zoomScaleNormal="100" workbookViewId="0">
      <selection activeCell="J26" sqref="J26"/>
    </sheetView>
  </sheetViews>
  <sheetFormatPr defaultRowHeight="14.4" x14ac:dyDescent="0.3"/>
  <cols>
    <col min="1" max="1" width="4.33203125" customWidth="1"/>
    <col min="2" max="2" width="15.5546875" customWidth="1"/>
    <col min="3" max="3" width="11.5546875" customWidth="1"/>
    <col min="4" max="4" width="10.33203125" customWidth="1"/>
    <col min="5" max="5" width="4.88671875" customWidth="1"/>
    <col min="6" max="6" width="10.33203125" customWidth="1"/>
    <col min="7" max="7" width="4.44140625" customWidth="1"/>
    <col min="8" max="8" width="19.5546875" customWidth="1"/>
    <col min="9" max="9" width="4.77734375" customWidth="1"/>
    <col min="10" max="10" width="4.6640625" customWidth="1"/>
    <col min="11" max="11" width="8.5546875" customWidth="1"/>
    <col min="12" max="12" width="8.44140625" customWidth="1"/>
    <col min="13" max="13" width="4.77734375" customWidth="1"/>
    <col min="14" max="14" width="15.109375" customWidth="1"/>
    <col min="15" max="15" width="11.21875" customWidth="1"/>
    <col min="16" max="16" width="11.44140625" customWidth="1"/>
    <col min="17" max="17" width="14.6640625" customWidth="1"/>
    <col min="18" max="18" width="11.44140625" customWidth="1"/>
  </cols>
  <sheetData>
    <row r="4" spans="1:18" x14ac:dyDescent="0.3">
      <c r="B4" s="89" t="s">
        <v>0</v>
      </c>
      <c r="C4" s="89"/>
      <c r="D4" s="89"/>
      <c r="E4" s="89"/>
      <c r="F4" s="89"/>
      <c r="G4" s="89"/>
    </row>
    <row r="5" spans="1:18" ht="9.6" customHeight="1" x14ac:dyDescent="0.3"/>
    <row r="6" spans="1:18" ht="15" x14ac:dyDescent="0.3">
      <c r="B6" s="90" t="s">
        <v>1</v>
      </c>
      <c r="C6" s="90"/>
      <c r="D6" s="90"/>
      <c r="E6" s="90"/>
      <c r="F6" s="90"/>
      <c r="G6" s="90"/>
      <c r="H6" s="90"/>
    </row>
    <row r="7" spans="1:18" ht="15" x14ac:dyDescent="0.3">
      <c r="B7" s="90" t="s">
        <v>2</v>
      </c>
      <c r="C7" s="90"/>
      <c r="D7" s="90"/>
      <c r="E7" s="90"/>
      <c r="F7" s="90"/>
      <c r="G7" s="90"/>
      <c r="H7" s="90"/>
    </row>
    <row r="9" spans="1:18" ht="24" customHeight="1" x14ac:dyDescent="0.3">
      <c r="A9" s="92" t="s">
        <v>3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</row>
    <row r="10" spans="1:18" ht="22.8" customHeight="1" x14ac:dyDescent="0.3">
      <c r="A10" s="91" t="s">
        <v>298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</row>
    <row r="12" spans="1:18" ht="114.6" customHeight="1" x14ac:dyDescent="0.3">
      <c r="A12" s="2"/>
      <c r="B12" s="2" t="s">
        <v>20</v>
      </c>
      <c r="C12" s="35" t="s">
        <v>4</v>
      </c>
      <c r="D12" s="4" t="s">
        <v>5</v>
      </c>
      <c r="E12" s="5" t="s">
        <v>6</v>
      </c>
      <c r="F12" s="6" t="s">
        <v>7</v>
      </c>
      <c r="G12" s="7" t="s">
        <v>8</v>
      </c>
      <c r="H12" s="8" t="s">
        <v>9</v>
      </c>
      <c r="I12" s="9" t="s">
        <v>10</v>
      </c>
      <c r="J12" s="6" t="s">
        <v>11</v>
      </c>
      <c r="K12" s="9" t="s">
        <v>12</v>
      </c>
      <c r="L12" s="9" t="s">
        <v>13</v>
      </c>
      <c r="M12" s="9" t="s">
        <v>14</v>
      </c>
      <c r="N12" s="76" t="s">
        <v>15</v>
      </c>
      <c r="O12" s="36" t="s">
        <v>16</v>
      </c>
      <c r="P12" s="10" t="s">
        <v>17</v>
      </c>
      <c r="Q12" s="10" t="s">
        <v>18</v>
      </c>
      <c r="R12" s="10" t="s">
        <v>19</v>
      </c>
    </row>
    <row r="13" spans="1:18" s="22" customFormat="1" ht="25.05" customHeight="1" x14ac:dyDescent="0.25">
      <c r="A13" s="21">
        <f t="shared" ref="A13:A30" si="0">1+A12</f>
        <v>1</v>
      </c>
      <c r="B13" s="21" t="s">
        <v>191</v>
      </c>
      <c r="C13" s="31" t="s">
        <v>192</v>
      </c>
      <c r="D13" s="21"/>
      <c r="E13" s="21" t="s">
        <v>46</v>
      </c>
      <c r="F13" s="21" t="s">
        <v>193</v>
      </c>
      <c r="G13" s="21"/>
      <c r="H13" s="21" t="s">
        <v>194</v>
      </c>
      <c r="I13" s="21"/>
      <c r="J13" s="21"/>
      <c r="K13" s="21"/>
      <c r="L13" s="21"/>
      <c r="M13" s="21"/>
      <c r="N13" s="21"/>
      <c r="O13" s="21">
        <v>788616628</v>
      </c>
      <c r="P13" s="21"/>
      <c r="Q13" s="21">
        <v>777705250</v>
      </c>
      <c r="R13" s="21"/>
    </row>
    <row r="14" spans="1:18" s="22" customFormat="1" ht="25.05" customHeight="1" x14ac:dyDescent="0.25">
      <c r="A14" s="21">
        <f t="shared" si="0"/>
        <v>2</v>
      </c>
      <c r="B14" s="21" t="s">
        <v>43</v>
      </c>
      <c r="C14" s="21" t="s">
        <v>44</v>
      </c>
      <c r="D14" s="21" t="s">
        <v>45</v>
      </c>
      <c r="E14" s="21" t="s">
        <v>46</v>
      </c>
      <c r="F14" s="21" t="s">
        <v>47</v>
      </c>
      <c r="G14" s="21"/>
      <c r="H14" s="21" t="s">
        <v>48</v>
      </c>
      <c r="I14" s="21"/>
      <c r="J14" s="21"/>
      <c r="K14" s="21"/>
      <c r="L14" s="21"/>
      <c r="M14" s="21"/>
      <c r="N14" s="21"/>
      <c r="O14" s="21">
        <v>766118163</v>
      </c>
      <c r="P14" s="21" t="s">
        <v>49</v>
      </c>
      <c r="Q14" s="21">
        <v>756469365</v>
      </c>
      <c r="R14" s="21"/>
    </row>
    <row r="15" spans="1:18" s="22" customFormat="1" ht="25.05" customHeight="1" x14ac:dyDescent="0.25">
      <c r="A15" s="21">
        <f t="shared" si="0"/>
        <v>3</v>
      </c>
      <c r="B15" s="21" t="s">
        <v>68</v>
      </c>
      <c r="C15" s="21" t="s">
        <v>69</v>
      </c>
      <c r="D15" s="21"/>
      <c r="E15" s="21" t="s">
        <v>46</v>
      </c>
      <c r="F15" s="21" t="s">
        <v>349</v>
      </c>
      <c r="G15" s="21"/>
      <c r="H15" s="21" t="s">
        <v>70</v>
      </c>
      <c r="I15" s="21"/>
      <c r="J15" s="21"/>
      <c r="K15" s="21"/>
      <c r="L15" s="21"/>
      <c r="M15" s="21"/>
      <c r="N15" s="21"/>
      <c r="O15" s="21">
        <v>700120378</v>
      </c>
      <c r="P15" s="21" t="s">
        <v>41</v>
      </c>
      <c r="Q15" s="21">
        <v>756525134</v>
      </c>
      <c r="R15" s="21"/>
    </row>
    <row r="16" spans="1:18" s="22" customFormat="1" ht="25.05" customHeight="1" x14ac:dyDescent="0.25">
      <c r="A16" s="21">
        <f t="shared" si="0"/>
        <v>4</v>
      </c>
      <c r="B16" s="21" t="s">
        <v>281</v>
      </c>
      <c r="C16" s="21" t="s">
        <v>282</v>
      </c>
      <c r="D16" s="21" t="s">
        <v>283</v>
      </c>
      <c r="E16" s="21" t="s">
        <v>46</v>
      </c>
      <c r="F16" s="21" t="s">
        <v>284</v>
      </c>
      <c r="G16" s="21"/>
      <c r="H16" s="21" t="s">
        <v>285</v>
      </c>
      <c r="I16" s="21"/>
      <c r="J16" s="21"/>
      <c r="K16" s="21"/>
      <c r="L16" s="21"/>
      <c r="M16" s="21"/>
      <c r="N16" s="21"/>
      <c r="O16" s="21">
        <v>700850858</v>
      </c>
      <c r="P16" s="21" t="s">
        <v>220</v>
      </c>
      <c r="Q16" s="21">
        <v>753376637</v>
      </c>
      <c r="R16" s="21"/>
    </row>
    <row r="17" spans="1:18" s="22" customFormat="1" ht="25.05" customHeight="1" x14ac:dyDescent="0.25">
      <c r="A17" s="21">
        <f t="shared" si="0"/>
        <v>5</v>
      </c>
      <c r="B17" s="21" t="s">
        <v>229</v>
      </c>
      <c r="C17" s="21" t="s">
        <v>230</v>
      </c>
      <c r="D17" s="21" t="s">
        <v>231</v>
      </c>
      <c r="E17" s="21" t="s">
        <v>46</v>
      </c>
      <c r="F17" s="21" t="s">
        <v>232</v>
      </c>
      <c r="G17" s="21"/>
      <c r="H17" s="21" t="s">
        <v>233</v>
      </c>
      <c r="I17" s="21"/>
      <c r="J17" s="21"/>
      <c r="K17" s="21"/>
      <c r="L17" s="21"/>
      <c r="M17" s="21"/>
      <c r="N17" s="21"/>
      <c r="O17" s="21">
        <v>773521623</v>
      </c>
      <c r="P17" s="21" t="s">
        <v>85</v>
      </c>
      <c r="Q17" s="21">
        <v>755618019</v>
      </c>
      <c r="R17" s="21"/>
    </row>
    <row r="18" spans="1:18" s="22" customFormat="1" ht="25.05" customHeight="1" x14ac:dyDescent="0.25">
      <c r="A18" s="46"/>
      <c r="B18" s="87" t="s">
        <v>25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41"/>
      <c r="Q18" s="41"/>
      <c r="R18" s="41"/>
    </row>
    <row r="19" spans="1:18" s="22" customFormat="1" ht="25.05" customHeight="1" x14ac:dyDescent="0.3">
      <c r="A19" s="46"/>
      <c r="B19"/>
      <c r="C19" s="40"/>
      <c r="D19" s="40"/>
      <c r="E19" s="40"/>
      <c r="F19" s="40"/>
      <c r="G19" s="40"/>
      <c r="H19" s="40"/>
      <c r="I19" s="88" t="s">
        <v>347</v>
      </c>
      <c r="J19" s="88"/>
      <c r="K19" s="88"/>
      <c r="L19" s="88"/>
      <c r="M19" s="88"/>
      <c r="N19" s="88"/>
      <c r="O19" s="88"/>
      <c r="P19" s="41"/>
      <c r="Q19" s="41"/>
      <c r="R19" s="41"/>
    </row>
    <row r="20" spans="1:18" s="22" customFormat="1" ht="25.05" customHeight="1" x14ac:dyDescent="0.25">
      <c r="A20" s="21">
        <f>1+A17</f>
        <v>6</v>
      </c>
      <c r="B20" s="21" t="s">
        <v>169</v>
      </c>
      <c r="C20" s="21" t="s">
        <v>170</v>
      </c>
      <c r="D20" s="21" t="s">
        <v>171</v>
      </c>
      <c r="E20" s="21" t="s">
        <v>46</v>
      </c>
      <c r="F20" s="21" t="s">
        <v>172</v>
      </c>
      <c r="G20" s="21"/>
      <c r="H20" s="21" t="s">
        <v>173</v>
      </c>
      <c r="I20" s="21"/>
      <c r="J20" s="21"/>
      <c r="K20" s="21"/>
      <c r="L20" s="21"/>
      <c r="M20" s="21"/>
      <c r="N20" s="21"/>
      <c r="O20" s="21">
        <v>755962345</v>
      </c>
      <c r="P20" s="21" t="s">
        <v>80</v>
      </c>
      <c r="Q20" s="21">
        <v>757840301</v>
      </c>
      <c r="R20" s="21"/>
    </row>
    <row r="21" spans="1:18" s="22" customFormat="1" ht="25.05" customHeight="1" x14ac:dyDescent="0.25">
      <c r="A21" s="21">
        <f t="shared" si="0"/>
        <v>7</v>
      </c>
      <c r="B21" s="21" t="s">
        <v>110</v>
      </c>
      <c r="C21" s="21" t="s">
        <v>111</v>
      </c>
      <c r="D21" s="21"/>
      <c r="E21" s="21" t="s">
        <v>38</v>
      </c>
      <c r="F21" s="21" t="s">
        <v>350</v>
      </c>
      <c r="G21" s="21"/>
      <c r="H21" s="21" t="s">
        <v>112</v>
      </c>
      <c r="I21" s="21"/>
      <c r="J21" s="21"/>
      <c r="K21" s="21"/>
      <c r="L21" s="21"/>
      <c r="M21" s="21"/>
      <c r="N21" s="21"/>
      <c r="O21" s="21">
        <v>747426917</v>
      </c>
      <c r="P21" s="21" t="s">
        <v>56</v>
      </c>
      <c r="Q21" s="21">
        <v>776669481</v>
      </c>
      <c r="R21" s="21"/>
    </row>
    <row r="22" spans="1:18" s="22" customFormat="1" ht="25.05" customHeight="1" x14ac:dyDescent="0.25">
      <c r="A22" s="21">
        <f t="shared" si="0"/>
        <v>8</v>
      </c>
      <c r="B22" s="21" t="s">
        <v>139</v>
      </c>
      <c r="C22" s="21" t="s">
        <v>106</v>
      </c>
      <c r="D22" s="21"/>
      <c r="E22" s="21" t="s">
        <v>38</v>
      </c>
      <c r="F22" s="21" t="s">
        <v>140</v>
      </c>
      <c r="G22" s="21"/>
      <c r="H22" s="21" t="s">
        <v>141</v>
      </c>
      <c r="I22" s="21"/>
      <c r="J22" s="21"/>
      <c r="K22" s="21"/>
      <c r="L22" s="21"/>
      <c r="M22" s="21"/>
      <c r="N22" s="21"/>
      <c r="O22" s="21">
        <v>780373956</v>
      </c>
      <c r="P22" s="21" t="s">
        <v>85</v>
      </c>
      <c r="Q22" s="21">
        <v>754707168</v>
      </c>
      <c r="R22" s="21"/>
    </row>
    <row r="23" spans="1:18" s="22" customFormat="1" ht="25.05" customHeight="1" x14ac:dyDescent="0.25">
      <c r="A23" s="21">
        <f t="shared" si="0"/>
        <v>9</v>
      </c>
      <c r="B23" s="21" t="s">
        <v>221</v>
      </c>
      <c r="C23" s="21" t="s">
        <v>222</v>
      </c>
      <c r="D23" s="21"/>
      <c r="E23" s="21" t="s">
        <v>38</v>
      </c>
      <c r="F23" s="21" t="s">
        <v>223</v>
      </c>
      <c r="G23" s="21"/>
      <c r="H23" s="21" t="s">
        <v>390</v>
      </c>
      <c r="I23" s="21"/>
      <c r="J23" s="21"/>
      <c r="K23" s="21"/>
      <c r="L23" s="21"/>
      <c r="M23" s="21"/>
      <c r="N23" s="21"/>
      <c r="O23" s="21">
        <v>703933426</v>
      </c>
      <c r="P23" s="21"/>
      <c r="Q23" s="21">
        <v>703739946</v>
      </c>
      <c r="R23" s="21"/>
    </row>
    <row r="24" spans="1:18" s="22" customFormat="1" ht="25.05" customHeight="1" x14ac:dyDescent="0.25">
      <c r="A24" s="21">
        <f t="shared" si="0"/>
        <v>10</v>
      </c>
      <c r="B24" s="31" t="s">
        <v>130</v>
      </c>
      <c r="C24" s="21" t="s">
        <v>131</v>
      </c>
      <c r="D24" s="21"/>
      <c r="E24" s="21" t="s">
        <v>38</v>
      </c>
      <c r="F24" s="21" t="s">
        <v>132</v>
      </c>
      <c r="G24" s="21"/>
      <c r="H24" s="21" t="s">
        <v>133</v>
      </c>
      <c r="I24" s="21"/>
      <c r="J24" s="21"/>
      <c r="K24" s="21"/>
      <c r="L24" s="21"/>
      <c r="M24" s="21"/>
      <c r="N24" s="21"/>
      <c r="O24" s="21">
        <v>750096877</v>
      </c>
      <c r="P24" s="21" t="s">
        <v>41</v>
      </c>
      <c r="Q24" s="21">
        <v>758953616</v>
      </c>
      <c r="R24" s="21"/>
    </row>
    <row r="25" spans="1:18" s="22" customFormat="1" ht="25.05" customHeight="1" x14ac:dyDescent="0.25">
      <c r="A25" s="21">
        <f t="shared" si="0"/>
        <v>11</v>
      </c>
      <c r="B25" s="21" t="s">
        <v>199</v>
      </c>
      <c r="C25" s="21" t="s">
        <v>182</v>
      </c>
      <c r="D25" s="21" t="s">
        <v>200</v>
      </c>
      <c r="E25" s="21" t="s">
        <v>46</v>
      </c>
      <c r="F25" s="21" t="s">
        <v>351</v>
      </c>
      <c r="G25" s="21"/>
      <c r="H25" s="21" t="s">
        <v>201</v>
      </c>
      <c r="I25" s="21"/>
      <c r="J25" s="21"/>
      <c r="K25" s="21"/>
      <c r="L25" s="21"/>
      <c r="M25" s="21"/>
      <c r="N25" s="21"/>
      <c r="O25" s="21">
        <v>781930684</v>
      </c>
      <c r="P25" s="21"/>
      <c r="Q25" s="21">
        <v>756756670</v>
      </c>
      <c r="R25" s="21"/>
    </row>
    <row r="26" spans="1:18" s="22" customFormat="1" ht="25.05" customHeight="1" x14ac:dyDescent="0.25">
      <c r="A26" s="21">
        <f t="shared" si="0"/>
        <v>12</v>
      </c>
      <c r="B26" s="21" t="s">
        <v>266</v>
      </c>
      <c r="C26" s="21" t="s">
        <v>267</v>
      </c>
      <c r="D26" s="21" t="s">
        <v>268</v>
      </c>
      <c r="E26" s="21" t="s">
        <v>46</v>
      </c>
      <c r="F26" s="21" t="s">
        <v>269</v>
      </c>
      <c r="G26" s="21"/>
      <c r="H26" s="21" t="s">
        <v>270</v>
      </c>
      <c r="I26" s="21"/>
      <c r="J26" s="21"/>
      <c r="K26" s="21"/>
      <c r="L26" s="21"/>
      <c r="M26" s="21"/>
      <c r="N26" s="21"/>
      <c r="O26" s="21">
        <v>781542725</v>
      </c>
      <c r="P26" s="21" t="s">
        <v>253</v>
      </c>
      <c r="Q26" s="21">
        <v>782015363</v>
      </c>
      <c r="R26" s="21"/>
    </row>
    <row r="27" spans="1:18" s="22" customFormat="1" ht="25.05" customHeight="1" x14ac:dyDescent="0.25">
      <c r="A27" s="21">
        <f t="shared" si="0"/>
        <v>13</v>
      </c>
      <c r="B27" s="21" t="s">
        <v>125</v>
      </c>
      <c r="C27" s="21" t="s">
        <v>126</v>
      </c>
      <c r="D27" s="21"/>
      <c r="E27" s="21" t="s">
        <v>38</v>
      </c>
      <c r="F27" s="21" t="s">
        <v>127</v>
      </c>
      <c r="G27" s="21"/>
      <c r="H27" s="21" t="s">
        <v>128</v>
      </c>
      <c r="I27" s="21"/>
      <c r="J27" s="21"/>
      <c r="K27" s="21"/>
      <c r="L27" s="21"/>
      <c r="M27" s="21"/>
      <c r="N27" s="21"/>
      <c r="O27" s="21">
        <v>769265057</v>
      </c>
      <c r="P27" s="21" t="s">
        <v>129</v>
      </c>
      <c r="Q27" s="21">
        <v>788428374</v>
      </c>
      <c r="R27" s="21"/>
    </row>
    <row r="28" spans="1:18" s="22" customFormat="1" ht="25.05" customHeight="1" x14ac:dyDescent="0.25">
      <c r="A28" s="21">
        <f t="shared" si="0"/>
        <v>14</v>
      </c>
      <c r="B28" s="21" t="s">
        <v>352</v>
      </c>
      <c r="C28" s="21" t="s">
        <v>353</v>
      </c>
      <c r="D28" s="21"/>
      <c r="E28" s="21" t="s">
        <v>46</v>
      </c>
      <c r="F28" s="21" t="s">
        <v>357</v>
      </c>
      <c r="G28" s="21"/>
      <c r="H28" s="21" t="s">
        <v>358</v>
      </c>
      <c r="I28" s="21"/>
      <c r="J28" s="21"/>
      <c r="K28" s="21"/>
      <c r="L28" s="21"/>
      <c r="M28" s="21"/>
      <c r="N28" s="21"/>
      <c r="O28" s="21">
        <v>755607163</v>
      </c>
      <c r="P28" s="21" t="s">
        <v>364</v>
      </c>
      <c r="Q28" s="21"/>
      <c r="R28" s="21"/>
    </row>
    <row r="29" spans="1:18" s="22" customFormat="1" ht="25.05" customHeight="1" x14ac:dyDescent="0.25">
      <c r="A29" s="21">
        <f t="shared" si="0"/>
        <v>15</v>
      </c>
      <c r="B29" s="21" t="s">
        <v>354</v>
      </c>
      <c r="C29" s="21" t="s">
        <v>361</v>
      </c>
      <c r="D29" s="21"/>
      <c r="E29" s="21" t="s">
        <v>38</v>
      </c>
      <c r="F29" s="21" t="s">
        <v>362</v>
      </c>
      <c r="G29" s="21"/>
      <c r="H29" s="21" t="s">
        <v>363</v>
      </c>
      <c r="I29" s="21"/>
      <c r="J29" s="21"/>
      <c r="K29" s="21"/>
      <c r="L29" s="21"/>
      <c r="M29" s="21"/>
      <c r="N29" s="21"/>
      <c r="O29" s="21"/>
      <c r="P29" s="21" t="s">
        <v>293</v>
      </c>
      <c r="Q29" s="21"/>
      <c r="R29" s="21"/>
    </row>
    <row r="30" spans="1:18" s="22" customFormat="1" ht="25.05" customHeight="1" x14ac:dyDescent="0.25">
      <c r="A30" s="21">
        <f t="shared" si="0"/>
        <v>16</v>
      </c>
      <c r="B30" s="21" t="s">
        <v>355</v>
      </c>
      <c r="C30" s="21" t="s">
        <v>356</v>
      </c>
      <c r="D30" s="21"/>
      <c r="E30" s="21" t="s">
        <v>46</v>
      </c>
      <c r="F30" s="21" t="s">
        <v>359</v>
      </c>
      <c r="G30" s="21"/>
      <c r="H30" s="21" t="s">
        <v>360</v>
      </c>
      <c r="I30" s="21"/>
      <c r="J30" s="21"/>
      <c r="K30" s="21"/>
      <c r="L30" s="21"/>
      <c r="M30" s="21"/>
      <c r="N30" s="21"/>
      <c r="O30" s="21">
        <v>773529295</v>
      </c>
      <c r="P30" s="21" t="s">
        <v>365</v>
      </c>
      <c r="Q30" s="21"/>
      <c r="R30" s="21"/>
    </row>
    <row r="31" spans="1:18" s="22" customFormat="1" ht="20.399999999999999" customHeight="1" x14ac:dyDescent="0.25"/>
    <row r="32" spans="1:18" s="22" customFormat="1" ht="25.05" customHeight="1" x14ac:dyDescent="0.25">
      <c r="B32" s="87" t="s">
        <v>25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</row>
    <row r="33" spans="2:15" s="22" customFormat="1" ht="19.2" customHeight="1" x14ac:dyDescent="0.3">
      <c r="B33"/>
      <c r="C33" s="40"/>
      <c r="D33" s="40"/>
      <c r="E33" s="40"/>
      <c r="F33" s="40"/>
      <c r="G33" s="40"/>
      <c r="H33" s="40"/>
      <c r="I33" s="88" t="s">
        <v>347</v>
      </c>
      <c r="J33" s="88"/>
      <c r="K33" s="88"/>
      <c r="L33" s="88"/>
      <c r="M33" s="88"/>
      <c r="N33" s="88"/>
      <c r="O33" s="88"/>
    </row>
    <row r="34" spans="2:15" s="22" customFormat="1" ht="25.05" customHeight="1" x14ac:dyDescent="0.25"/>
  </sheetData>
  <sortState ref="A13:R30">
    <sortCondition ref="B15"/>
  </sortState>
  <mergeCells count="9">
    <mergeCell ref="B18:O18"/>
    <mergeCell ref="I19:O19"/>
    <mergeCell ref="B32:O32"/>
    <mergeCell ref="I33:O33"/>
    <mergeCell ref="B4:G4"/>
    <mergeCell ref="B6:H6"/>
    <mergeCell ref="B7:H7"/>
    <mergeCell ref="A10:N10"/>
    <mergeCell ref="A9:M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3"/>
  <sheetViews>
    <sheetView zoomScaleNormal="100" workbookViewId="0">
      <selection activeCell="A11" sqref="A11:O18"/>
    </sheetView>
  </sheetViews>
  <sheetFormatPr defaultRowHeight="14.4" x14ac:dyDescent="0.3"/>
  <cols>
    <col min="1" max="1" width="2.77734375" customWidth="1"/>
    <col min="2" max="2" width="15.21875" customWidth="1"/>
    <col min="3" max="3" width="12.33203125" customWidth="1"/>
    <col min="4" max="4" width="6.5546875" customWidth="1"/>
    <col min="5" max="5" width="10.6640625" customWidth="1"/>
    <col min="6" max="6" width="5.44140625" customWidth="1"/>
    <col min="7" max="7" width="18.44140625" customWidth="1"/>
    <col min="8" max="8" width="5.33203125" customWidth="1"/>
    <col min="9" max="9" width="5.109375" customWidth="1"/>
    <col min="10" max="10" width="11.6640625" customWidth="1"/>
    <col min="11" max="11" width="8.21875" customWidth="1"/>
    <col min="12" max="12" width="5.6640625" customWidth="1"/>
    <col min="13" max="13" width="14.21875" customWidth="1"/>
    <col min="14" max="14" width="13.5546875" customWidth="1"/>
    <col min="15" max="15" width="13.109375" customWidth="1"/>
    <col min="16" max="16" width="12.33203125" customWidth="1"/>
  </cols>
  <sheetData>
    <row r="3" spans="1:16" ht="10.199999999999999" customHeight="1" x14ac:dyDescent="0.3"/>
    <row r="4" spans="1:16" x14ac:dyDescent="0.3">
      <c r="B4" s="93" t="s">
        <v>0</v>
      </c>
      <c r="C4" s="93"/>
      <c r="D4" s="93"/>
      <c r="E4" s="93"/>
      <c r="F4" s="93"/>
      <c r="G4" s="93"/>
    </row>
    <row r="5" spans="1:16" ht="18.600000000000001" customHeight="1" x14ac:dyDescent="0.3">
      <c r="B5" s="90" t="s">
        <v>1</v>
      </c>
      <c r="C5" s="90"/>
      <c r="D5" s="90"/>
      <c r="E5" s="90"/>
      <c r="F5" s="90"/>
      <c r="G5" s="90"/>
    </row>
    <row r="6" spans="1:16" ht="17.399999999999999" customHeight="1" x14ac:dyDescent="0.3">
      <c r="B6" s="90" t="s">
        <v>2</v>
      </c>
      <c r="C6" s="90"/>
      <c r="D6" s="90"/>
      <c r="E6" s="90"/>
      <c r="F6" s="90"/>
      <c r="G6" s="90"/>
      <c r="H6" s="90"/>
    </row>
    <row r="8" spans="1:16" ht="18.600000000000001" customHeight="1" x14ac:dyDescent="0.3">
      <c r="A8" s="92" t="s">
        <v>21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1"/>
    </row>
    <row r="9" spans="1:16" ht="21.6" customHeight="1" x14ac:dyDescent="0.3">
      <c r="A9" s="62" t="s">
        <v>298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1:16" ht="17.399999999999999" x14ac:dyDescent="0.3">
      <c r="B10" s="94"/>
      <c r="C10" s="94"/>
      <c r="D10" s="94"/>
      <c r="E10" s="94"/>
      <c r="F10" s="94"/>
      <c r="G10" s="94"/>
    </row>
    <row r="12" spans="1:16" ht="123" x14ac:dyDescent="0.3">
      <c r="A12" s="2"/>
      <c r="B12" s="2" t="s">
        <v>22</v>
      </c>
      <c r="C12" s="3" t="s">
        <v>4</v>
      </c>
      <c r="D12" s="4" t="s">
        <v>5</v>
      </c>
      <c r="E12" s="12" t="s">
        <v>7</v>
      </c>
      <c r="F12" s="7" t="s">
        <v>8</v>
      </c>
      <c r="G12" s="8" t="s">
        <v>9</v>
      </c>
      <c r="H12" s="9" t="s">
        <v>10</v>
      </c>
      <c r="I12" s="6" t="s">
        <v>11</v>
      </c>
      <c r="J12" s="9" t="s">
        <v>12</v>
      </c>
      <c r="K12" s="9" t="s">
        <v>13</v>
      </c>
      <c r="L12" s="9" t="s">
        <v>14</v>
      </c>
      <c r="M12" s="9" t="s">
        <v>23</v>
      </c>
      <c r="N12" s="10" t="s">
        <v>16</v>
      </c>
      <c r="O12" s="13" t="s">
        <v>17</v>
      </c>
      <c r="P12" s="10" t="s">
        <v>24</v>
      </c>
    </row>
    <row r="13" spans="1:16" s="22" customFormat="1" ht="25.05" customHeight="1" x14ac:dyDescent="0.3">
      <c r="A13" s="21">
        <f t="shared" ref="A13:A18" si="0">1+A12</f>
        <v>1</v>
      </c>
      <c r="B13" s="21" t="s">
        <v>134</v>
      </c>
      <c r="C13" s="25" t="s">
        <v>135</v>
      </c>
      <c r="D13" s="25"/>
      <c r="E13" s="26" t="s">
        <v>136</v>
      </c>
      <c r="F13" s="27"/>
      <c r="G13" s="28" t="s">
        <v>137</v>
      </c>
      <c r="H13" s="29"/>
      <c r="I13" s="30"/>
      <c r="J13" s="29"/>
      <c r="K13" s="29"/>
      <c r="L13" s="29"/>
      <c r="M13" s="29"/>
      <c r="N13" s="18">
        <v>750218180</v>
      </c>
      <c r="O13" s="19" t="s">
        <v>138</v>
      </c>
      <c r="P13" s="18">
        <v>773800529</v>
      </c>
    </row>
    <row r="14" spans="1:16" s="22" customFormat="1" ht="25.05" customHeight="1" x14ac:dyDescent="0.3">
      <c r="A14" s="21">
        <f t="shared" si="0"/>
        <v>2</v>
      </c>
      <c r="B14" s="21" t="s">
        <v>254</v>
      </c>
      <c r="C14" s="24" t="s">
        <v>255</v>
      </c>
      <c r="D14" s="25"/>
      <c r="E14" s="26" t="s">
        <v>256</v>
      </c>
      <c r="F14" s="27"/>
      <c r="G14" s="28" t="s">
        <v>257</v>
      </c>
      <c r="H14" s="29"/>
      <c r="I14" s="30"/>
      <c r="J14" s="29"/>
      <c r="K14" s="29"/>
      <c r="L14" s="29"/>
      <c r="M14" s="29"/>
      <c r="N14" s="18">
        <v>707772220</v>
      </c>
      <c r="O14" s="19" t="s">
        <v>258</v>
      </c>
      <c r="P14" s="18">
        <v>774864579</v>
      </c>
    </row>
    <row r="15" spans="1:16" s="22" customFormat="1" ht="25.05" customHeight="1" x14ac:dyDescent="0.3">
      <c r="A15" s="21">
        <f t="shared" si="0"/>
        <v>3</v>
      </c>
      <c r="B15" s="21" t="s">
        <v>259</v>
      </c>
      <c r="C15" s="24" t="s">
        <v>260</v>
      </c>
      <c r="D15" s="25"/>
      <c r="E15" s="26" t="s">
        <v>261</v>
      </c>
      <c r="F15" s="27"/>
      <c r="G15" s="31" t="s">
        <v>262</v>
      </c>
      <c r="H15" s="29"/>
      <c r="I15" s="30"/>
      <c r="J15" s="29"/>
      <c r="K15" s="29"/>
      <c r="L15" s="29"/>
      <c r="M15" s="29"/>
      <c r="N15" s="18">
        <v>751021353</v>
      </c>
      <c r="O15" s="19" t="s">
        <v>41</v>
      </c>
      <c r="P15" s="18">
        <v>703799230</v>
      </c>
    </row>
    <row r="16" spans="1:16" s="22" customFormat="1" ht="25.05" customHeight="1" x14ac:dyDescent="0.3">
      <c r="A16" s="21">
        <f t="shared" si="0"/>
        <v>4</v>
      </c>
      <c r="B16" s="21" t="s">
        <v>234</v>
      </c>
      <c r="C16" s="24" t="s">
        <v>235</v>
      </c>
      <c r="D16" s="25"/>
      <c r="E16" s="26" t="s">
        <v>348</v>
      </c>
      <c r="F16" s="27"/>
      <c r="G16" s="31" t="s">
        <v>236</v>
      </c>
      <c r="H16" s="29"/>
      <c r="I16" s="30"/>
      <c r="J16" s="29"/>
      <c r="K16" s="29"/>
      <c r="L16" s="29"/>
      <c r="M16" s="29"/>
      <c r="N16" s="18">
        <v>764611949</v>
      </c>
      <c r="O16" s="19" t="s">
        <v>80</v>
      </c>
      <c r="P16" s="18">
        <v>774202706</v>
      </c>
    </row>
    <row r="17" spans="1:16" s="22" customFormat="1" ht="25.05" customHeight="1" x14ac:dyDescent="0.3">
      <c r="A17" s="21">
        <f t="shared" si="0"/>
        <v>5</v>
      </c>
      <c r="B17" s="21" t="s">
        <v>105</v>
      </c>
      <c r="C17" s="24" t="s">
        <v>106</v>
      </c>
      <c r="D17" s="25"/>
      <c r="E17" s="26" t="s">
        <v>107</v>
      </c>
      <c r="F17" s="27"/>
      <c r="G17" s="31" t="s">
        <v>108</v>
      </c>
      <c r="H17" s="29"/>
      <c r="I17" s="30"/>
      <c r="J17" s="29"/>
      <c r="K17" s="29"/>
      <c r="L17" s="29"/>
      <c r="M17" s="29"/>
      <c r="N17" s="18">
        <v>752689643</v>
      </c>
      <c r="O17" s="19" t="s">
        <v>109</v>
      </c>
      <c r="P17" s="18">
        <v>752815842</v>
      </c>
    </row>
    <row r="18" spans="1:16" s="22" customFormat="1" ht="25.05" customHeight="1" x14ac:dyDescent="0.3">
      <c r="A18" s="21">
        <f t="shared" si="0"/>
        <v>6</v>
      </c>
      <c r="B18" s="21" t="s">
        <v>195</v>
      </c>
      <c r="C18" s="24" t="s">
        <v>196</v>
      </c>
      <c r="D18" s="25"/>
      <c r="E18" s="26" t="s">
        <v>197</v>
      </c>
      <c r="F18" s="27"/>
      <c r="G18" s="28" t="s">
        <v>198</v>
      </c>
      <c r="H18" s="29"/>
      <c r="I18" s="30"/>
      <c r="J18" s="29"/>
      <c r="K18" s="29"/>
      <c r="L18" s="29"/>
      <c r="M18" s="29"/>
      <c r="N18" s="18">
        <v>751708084</v>
      </c>
      <c r="O18" s="19" t="s">
        <v>41</v>
      </c>
      <c r="P18" s="18">
        <v>702174124</v>
      </c>
    </row>
    <row r="19" spans="1:16" s="22" customFormat="1" ht="25.05" customHeight="1" x14ac:dyDescent="0.3">
      <c r="A19" s="87" t="s">
        <v>25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61"/>
      <c r="P19" s="60"/>
    </row>
    <row r="20" spans="1:16" s="20" customFormat="1" ht="25.05" customHeight="1" x14ac:dyDescent="0.3">
      <c r="A20"/>
      <c r="B20" s="38"/>
      <c r="C20" s="38"/>
      <c r="D20" s="38"/>
      <c r="E20" s="38"/>
      <c r="F20" s="38"/>
      <c r="G20" s="38"/>
      <c r="H20" s="88" t="s">
        <v>347</v>
      </c>
      <c r="I20" s="88"/>
      <c r="J20" s="88"/>
      <c r="K20" s="88"/>
      <c r="L20" s="88"/>
      <c r="M20" s="88"/>
      <c r="N20" s="88"/>
      <c r="O20" s="61"/>
      <c r="P20" s="60"/>
    </row>
    <row r="21" spans="1:16" s="52" customFormat="1" ht="25.05" customHeight="1" x14ac:dyDescent="0.3">
      <c r="C21" s="53"/>
      <c r="D21" s="54"/>
      <c r="E21" s="55"/>
      <c r="F21" s="56"/>
      <c r="G21" s="57"/>
      <c r="H21" s="58"/>
      <c r="I21" s="59"/>
      <c r="J21" s="58"/>
      <c r="K21" s="58"/>
      <c r="L21" s="58"/>
      <c r="M21" s="58"/>
      <c r="N21" s="60"/>
      <c r="O21" s="61"/>
      <c r="P21" s="60"/>
    </row>
    <row r="22" spans="1:16" x14ac:dyDescent="0.3">
      <c r="O22" s="14"/>
      <c r="P22" s="14"/>
    </row>
    <row r="23" spans="1:16" x14ac:dyDescent="0.3">
      <c r="O23" s="39"/>
      <c r="P23" s="39"/>
    </row>
  </sheetData>
  <sortState ref="A15:P20">
    <sortCondition ref="B15"/>
  </sortState>
  <mergeCells count="7">
    <mergeCell ref="H20:N20"/>
    <mergeCell ref="A19:N19"/>
    <mergeCell ref="B4:G4"/>
    <mergeCell ref="B5:G5"/>
    <mergeCell ref="B6:H6"/>
    <mergeCell ref="B10:G10"/>
    <mergeCell ref="A8:L8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76"/>
  <sheetViews>
    <sheetView tabSelected="1" topLeftCell="A25" zoomScaleNormal="100" workbookViewId="0">
      <selection activeCell="Y12" sqref="Y12"/>
    </sheetView>
  </sheetViews>
  <sheetFormatPr defaultRowHeight="14.4" x14ac:dyDescent="0.3"/>
  <cols>
    <col min="1" max="1" width="5.6640625" customWidth="1"/>
    <col min="2" max="2" width="14.6640625" customWidth="1"/>
    <col min="3" max="3" width="13.6640625" customWidth="1"/>
    <col min="4" max="4" width="12.21875" customWidth="1"/>
    <col min="5" max="5" width="5.21875" customWidth="1"/>
    <col min="6" max="6" width="4.77734375" customWidth="1"/>
    <col min="7" max="7" width="11.109375" customWidth="1"/>
    <col min="8" max="8" width="15" customWidth="1"/>
    <col min="9" max="9" width="4.88671875" style="66" customWidth="1"/>
    <col min="10" max="10" width="4.77734375" style="66" customWidth="1"/>
    <col min="11" max="11" width="4.5546875" style="66" customWidth="1"/>
    <col min="12" max="12" width="4.6640625" style="66" customWidth="1"/>
    <col min="13" max="13" width="4.88671875" style="66" customWidth="1"/>
    <col min="14" max="14" width="17.109375" customWidth="1"/>
    <col min="15" max="15" width="12.6640625" customWidth="1"/>
    <col min="16" max="16" width="12" customWidth="1"/>
    <col min="17" max="17" width="23.21875" customWidth="1"/>
  </cols>
  <sheetData>
    <row r="4" spans="1:17" x14ac:dyDescent="0.3">
      <c r="C4" s="93" t="s">
        <v>0</v>
      </c>
      <c r="D4" s="93"/>
      <c r="E4" s="93"/>
      <c r="F4" s="93"/>
    </row>
    <row r="5" spans="1:17" ht="8.4" customHeight="1" x14ac:dyDescent="0.3"/>
    <row r="6" spans="1:17" ht="15" x14ac:dyDescent="0.3">
      <c r="C6" s="90" t="s">
        <v>1</v>
      </c>
      <c r="D6" s="90"/>
      <c r="E6" s="90"/>
      <c r="F6" s="90"/>
      <c r="G6" s="90"/>
      <c r="H6" s="90"/>
    </row>
    <row r="7" spans="1:17" ht="15" x14ac:dyDescent="0.3">
      <c r="C7" s="90" t="s">
        <v>26</v>
      </c>
      <c r="D7" s="90"/>
      <c r="E7" s="90"/>
      <c r="F7" s="90"/>
      <c r="G7" s="90"/>
      <c r="H7" s="90"/>
      <c r="I7" s="90"/>
    </row>
    <row r="8" spans="1:17" ht="9.6" customHeight="1" x14ac:dyDescent="0.3"/>
    <row r="9" spans="1:17" ht="22.2" customHeight="1" x14ac:dyDescent="0.3">
      <c r="B9" s="96" t="s">
        <v>341</v>
      </c>
      <c r="C9" s="96"/>
      <c r="D9" s="96"/>
      <c r="E9" s="96"/>
      <c r="F9" s="96"/>
      <c r="G9" s="96"/>
      <c r="H9" s="96"/>
      <c r="I9" s="96"/>
      <c r="J9" s="96"/>
      <c r="K9" s="96"/>
      <c r="L9" s="67"/>
      <c r="M9" s="67"/>
      <c r="N9" s="1"/>
      <c r="P9" s="1"/>
    </row>
    <row r="10" spans="1:17" ht="21" customHeight="1" x14ac:dyDescent="0.35">
      <c r="B10" s="91" t="s">
        <v>299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P10" s="16"/>
    </row>
    <row r="11" spans="1:17" ht="13.8" customHeight="1" x14ac:dyDescent="0.3">
      <c r="B11" s="94"/>
      <c r="C11" s="94"/>
      <c r="D11" s="94"/>
      <c r="E11" s="94"/>
      <c r="F11" s="94"/>
      <c r="G11" s="94"/>
      <c r="H11" s="94"/>
      <c r="N11" s="16"/>
      <c r="P11" s="16"/>
    </row>
    <row r="12" spans="1:17" ht="70.2" customHeight="1" x14ac:dyDescent="0.3">
      <c r="A12" s="13"/>
      <c r="B12" s="13" t="s">
        <v>20</v>
      </c>
      <c r="C12" s="32" t="s">
        <v>4</v>
      </c>
      <c r="D12" s="10" t="s">
        <v>5</v>
      </c>
      <c r="E12" s="32" t="s">
        <v>6</v>
      </c>
      <c r="F12" s="13" t="s">
        <v>27</v>
      </c>
      <c r="G12" s="13" t="s">
        <v>28</v>
      </c>
      <c r="H12" s="10" t="s">
        <v>29</v>
      </c>
      <c r="I12" s="68" t="s">
        <v>30</v>
      </c>
      <c r="J12" s="68" t="s">
        <v>31</v>
      </c>
      <c r="K12" s="68" t="s">
        <v>32</v>
      </c>
      <c r="L12" s="68" t="s">
        <v>33</v>
      </c>
      <c r="M12" s="68" t="s">
        <v>34</v>
      </c>
      <c r="N12" s="65" t="s">
        <v>35</v>
      </c>
      <c r="O12" s="13" t="s">
        <v>17</v>
      </c>
      <c r="P12" s="36" t="s">
        <v>16</v>
      </c>
      <c r="Q12" s="10" t="s">
        <v>18</v>
      </c>
    </row>
    <row r="13" spans="1:17" s="22" customFormat="1" ht="25.05" customHeight="1" x14ac:dyDescent="0.25">
      <c r="A13" s="21">
        <f t="shared" ref="A13:A65" si="0">1+A12</f>
        <v>1</v>
      </c>
      <c r="B13" s="21" t="s">
        <v>319</v>
      </c>
      <c r="C13" s="21" t="s">
        <v>65</v>
      </c>
      <c r="D13" s="39"/>
      <c r="E13" s="21" t="s">
        <v>38</v>
      </c>
      <c r="F13" s="21"/>
      <c r="G13" s="23">
        <v>38116</v>
      </c>
      <c r="H13" s="21" t="s">
        <v>320</v>
      </c>
      <c r="I13" s="69" t="s">
        <v>54</v>
      </c>
      <c r="J13" s="69" t="s">
        <v>54</v>
      </c>
      <c r="K13" s="69" t="s">
        <v>54</v>
      </c>
      <c r="L13" s="69" t="s">
        <v>55</v>
      </c>
      <c r="M13" s="69" t="s">
        <v>54</v>
      </c>
      <c r="N13" s="21"/>
      <c r="O13" s="21" t="s">
        <v>190</v>
      </c>
      <c r="P13" s="21">
        <v>781896608</v>
      </c>
      <c r="Q13" s="21"/>
    </row>
    <row r="14" spans="1:17" s="22" customFormat="1" ht="25.05" customHeight="1" x14ac:dyDescent="0.25">
      <c r="A14" s="21">
        <f t="shared" si="0"/>
        <v>2</v>
      </c>
      <c r="B14" s="21" t="s">
        <v>142</v>
      </c>
      <c r="C14" s="21" t="s">
        <v>143</v>
      </c>
      <c r="D14" s="21"/>
      <c r="E14" s="21" t="s">
        <v>38</v>
      </c>
      <c r="F14" s="21"/>
      <c r="G14" s="21" t="s">
        <v>327</v>
      </c>
      <c r="H14" s="21" t="s">
        <v>144</v>
      </c>
      <c r="I14" s="69">
        <v>3</v>
      </c>
      <c r="J14" s="69">
        <v>6</v>
      </c>
      <c r="K14" s="69">
        <v>4</v>
      </c>
      <c r="L14" s="69">
        <v>7</v>
      </c>
      <c r="M14" s="69">
        <v>6</v>
      </c>
      <c r="N14" s="21"/>
      <c r="O14" s="21" t="s">
        <v>138</v>
      </c>
      <c r="P14" s="21">
        <v>793322344</v>
      </c>
      <c r="Q14" s="21">
        <v>782045153</v>
      </c>
    </row>
    <row r="15" spans="1:17" s="22" customFormat="1" ht="25.05" customHeight="1" x14ac:dyDescent="0.25">
      <c r="A15" s="21">
        <f t="shared" si="0"/>
        <v>3</v>
      </c>
      <c r="B15" s="21" t="s">
        <v>90</v>
      </c>
      <c r="C15" s="21" t="s">
        <v>44</v>
      </c>
      <c r="D15" s="21" t="s">
        <v>91</v>
      </c>
      <c r="E15" s="21" t="s">
        <v>46</v>
      </c>
      <c r="F15" s="21"/>
      <c r="G15" s="21" t="s">
        <v>325</v>
      </c>
      <c r="H15" s="21" t="s">
        <v>92</v>
      </c>
      <c r="I15" s="69">
        <v>5</v>
      </c>
      <c r="J15" s="69">
        <v>3</v>
      </c>
      <c r="K15" s="69">
        <v>5</v>
      </c>
      <c r="L15" s="69">
        <v>6</v>
      </c>
      <c r="M15" s="69">
        <v>5</v>
      </c>
      <c r="N15" s="21"/>
      <c r="O15" s="21" t="s">
        <v>93</v>
      </c>
      <c r="P15" s="21">
        <v>778454719</v>
      </c>
      <c r="Q15" s="21">
        <v>774928059</v>
      </c>
    </row>
    <row r="16" spans="1:17" s="22" customFormat="1" ht="25.05" customHeight="1" x14ac:dyDescent="0.25">
      <c r="A16" s="21">
        <f t="shared" si="0"/>
        <v>4</v>
      </c>
      <c r="B16" s="21" t="s">
        <v>186</v>
      </c>
      <c r="C16" s="21" t="s">
        <v>187</v>
      </c>
      <c r="D16" s="21" t="s">
        <v>188</v>
      </c>
      <c r="E16" s="21" t="s">
        <v>38</v>
      </c>
      <c r="F16" s="21"/>
      <c r="G16" s="23">
        <v>38477</v>
      </c>
      <c r="H16" s="21" t="s">
        <v>189</v>
      </c>
      <c r="I16" s="69" t="s">
        <v>79</v>
      </c>
      <c r="J16" s="69" t="s">
        <v>54</v>
      </c>
      <c r="K16" s="69" t="s">
        <v>54</v>
      </c>
      <c r="L16" s="69" t="s">
        <v>54</v>
      </c>
      <c r="M16" s="69" t="s">
        <v>54</v>
      </c>
      <c r="N16" s="21"/>
      <c r="O16" s="21" t="s">
        <v>190</v>
      </c>
      <c r="P16" s="21">
        <v>770771419</v>
      </c>
      <c r="Q16" s="21">
        <v>772562398</v>
      </c>
    </row>
    <row r="17" spans="1:18" s="22" customFormat="1" ht="25.05" customHeight="1" x14ac:dyDescent="0.25">
      <c r="A17" s="21">
        <f t="shared" si="0"/>
        <v>5</v>
      </c>
      <c r="B17" s="21" t="s">
        <v>271</v>
      </c>
      <c r="C17" s="21" t="s">
        <v>272</v>
      </c>
      <c r="D17" s="21"/>
      <c r="E17" s="21" t="s">
        <v>38</v>
      </c>
      <c r="F17" s="21"/>
      <c r="G17" s="23">
        <v>38538</v>
      </c>
      <c r="H17" s="21" t="s">
        <v>273</v>
      </c>
      <c r="I17" s="69" t="s">
        <v>55</v>
      </c>
      <c r="J17" s="69" t="s">
        <v>55</v>
      </c>
      <c r="K17" s="69" t="s">
        <v>54</v>
      </c>
      <c r="L17" s="69" t="s">
        <v>55</v>
      </c>
      <c r="M17" s="69" t="s">
        <v>55</v>
      </c>
      <c r="N17" s="21"/>
      <c r="O17" s="21" t="s">
        <v>246</v>
      </c>
      <c r="P17" s="21">
        <v>745721208</v>
      </c>
      <c r="Q17" s="21">
        <v>752691915</v>
      </c>
    </row>
    <row r="18" spans="1:18" s="22" customFormat="1" ht="25.05" customHeight="1" x14ac:dyDescent="0.25">
      <c r="A18" s="21">
        <f t="shared" si="0"/>
        <v>6</v>
      </c>
      <c r="B18" s="21" t="s">
        <v>317</v>
      </c>
      <c r="C18" s="21" t="s">
        <v>72</v>
      </c>
      <c r="D18" s="21"/>
      <c r="E18" s="21" t="s">
        <v>38</v>
      </c>
      <c r="F18" s="21"/>
      <c r="G18" s="21" t="s">
        <v>328</v>
      </c>
      <c r="H18" s="21" t="s">
        <v>318</v>
      </c>
      <c r="I18" s="69">
        <v>7</v>
      </c>
      <c r="J18" s="69">
        <v>5</v>
      </c>
      <c r="K18" s="69">
        <v>6</v>
      </c>
      <c r="L18" s="69">
        <v>8</v>
      </c>
      <c r="M18" s="69">
        <v>8</v>
      </c>
      <c r="N18" s="21"/>
      <c r="O18" s="21" t="s">
        <v>293</v>
      </c>
      <c r="P18" s="21">
        <v>761300219</v>
      </c>
      <c r="Q18" s="21"/>
    </row>
    <row r="19" spans="1:18" s="22" customFormat="1" ht="25.05" customHeight="1" x14ac:dyDescent="0.25">
      <c r="A19" s="21">
        <f t="shared" si="0"/>
        <v>7</v>
      </c>
      <c r="B19" s="21" t="s">
        <v>210</v>
      </c>
      <c r="C19" s="21" t="s">
        <v>211</v>
      </c>
      <c r="D19" s="21"/>
      <c r="E19" s="21" t="s">
        <v>38</v>
      </c>
      <c r="F19" s="21"/>
      <c r="G19" s="23">
        <v>38119</v>
      </c>
      <c r="H19" s="21" t="s">
        <v>212</v>
      </c>
      <c r="I19" s="69">
        <v>4</v>
      </c>
      <c r="J19" s="69">
        <v>5</v>
      </c>
      <c r="K19" s="69">
        <v>6</v>
      </c>
      <c r="L19" s="69">
        <v>6</v>
      </c>
      <c r="M19" s="69">
        <v>8</v>
      </c>
      <c r="N19" s="21"/>
      <c r="O19" s="21" t="s">
        <v>41</v>
      </c>
      <c r="P19" s="21">
        <v>759624353</v>
      </c>
      <c r="Q19" s="21">
        <v>751520156</v>
      </c>
    </row>
    <row r="20" spans="1:18" s="22" customFormat="1" ht="25.05" customHeight="1" x14ac:dyDescent="0.25">
      <c r="A20" s="21">
        <f t="shared" si="0"/>
        <v>8</v>
      </c>
      <c r="B20" s="21" t="s">
        <v>277</v>
      </c>
      <c r="C20" s="21" t="s">
        <v>278</v>
      </c>
      <c r="D20" s="21"/>
      <c r="E20" s="21" t="s">
        <v>46</v>
      </c>
      <c r="F20" s="21"/>
      <c r="G20" s="21" t="s">
        <v>279</v>
      </c>
      <c r="H20" s="21" t="s">
        <v>280</v>
      </c>
      <c r="I20" s="69" t="s">
        <v>54</v>
      </c>
      <c r="J20" s="69" t="s">
        <v>55</v>
      </c>
      <c r="K20" s="69" t="s">
        <v>54</v>
      </c>
      <c r="L20" s="69" t="s">
        <v>79</v>
      </c>
      <c r="M20" s="69" t="s">
        <v>54</v>
      </c>
      <c r="N20" s="21"/>
      <c r="O20" s="21" t="s">
        <v>85</v>
      </c>
      <c r="P20" s="21">
        <v>707738133</v>
      </c>
      <c r="Q20" s="21">
        <v>753864069</v>
      </c>
    </row>
    <row r="21" spans="1:18" s="22" customFormat="1" ht="25.05" customHeight="1" x14ac:dyDescent="0.25">
      <c r="A21" s="95" t="s">
        <v>346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41"/>
      <c r="Q21" s="50"/>
    </row>
    <row r="22" spans="1:18" s="22" customFormat="1" ht="25.05" customHeight="1" x14ac:dyDescent="0.25">
      <c r="A22" s="41"/>
      <c r="B22" s="40"/>
      <c r="C22" s="40"/>
      <c r="D22" s="40"/>
      <c r="E22" s="40"/>
      <c r="F22" s="40"/>
      <c r="G22" s="40"/>
      <c r="H22" s="88" t="s">
        <v>347</v>
      </c>
      <c r="I22" s="88"/>
      <c r="J22" s="88"/>
      <c r="K22" s="88"/>
      <c r="L22" s="88"/>
      <c r="M22" s="88"/>
      <c r="N22" s="88"/>
      <c r="O22" s="41"/>
      <c r="P22" s="41"/>
      <c r="Q22" s="21"/>
    </row>
    <row r="23" spans="1:18" s="22" customFormat="1" ht="25.05" customHeight="1" x14ac:dyDescent="0.25">
      <c r="A23" s="21">
        <f>1+A20</f>
        <v>9</v>
      </c>
      <c r="B23" s="21" t="s">
        <v>242</v>
      </c>
      <c r="C23" s="21" t="s">
        <v>243</v>
      </c>
      <c r="D23" s="21"/>
      <c r="E23" s="21" t="s">
        <v>38</v>
      </c>
      <c r="F23" s="21"/>
      <c r="G23" s="42" t="s">
        <v>244</v>
      </c>
      <c r="H23" s="21" t="s">
        <v>245</v>
      </c>
      <c r="I23" s="69" t="s">
        <v>54</v>
      </c>
      <c r="J23" s="69" t="s">
        <v>55</v>
      </c>
      <c r="K23" s="69" t="s">
        <v>55</v>
      </c>
      <c r="L23" s="69" t="s">
        <v>79</v>
      </c>
      <c r="M23" s="69" t="s">
        <v>54</v>
      </c>
      <c r="N23" s="21"/>
      <c r="O23" s="21" t="s">
        <v>246</v>
      </c>
      <c r="P23" s="21">
        <v>780780230</v>
      </c>
      <c r="Q23" s="21">
        <v>778186153</v>
      </c>
    </row>
    <row r="24" spans="1:18" s="22" customFormat="1" ht="25.05" customHeight="1" x14ac:dyDescent="0.25">
      <c r="A24" s="21">
        <f t="shared" si="0"/>
        <v>10</v>
      </c>
      <c r="B24" s="21" t="s">
        <v>145</v>
      </c>
      <c r="C24" s="21" t="s">
        <v>146</v>
      </c>
      <c r="D24" s="21"/>
      <c r="E24" s="21" t="s">
        <v>46</v>
      </c>
      <c r="F24" s="21"/>
      <c r="G24" s="21" t="s">
        <v>147</v>
      </c>
      <c r="H24" s="21" t="s">
        <v>148</v>
      </c>
      <c r="I24" s="69" t="s">
        <v>54</v>
      </c>
      <c r="J24" s="69" t="s">
        <v>79</v>
      </c>
      <c r="K24" s="69" t="s">
        <v>54</v>
      </c>
      <c r="L24" s="69" t="s">
        <v>79</v>
      </c>
      <c r="M24" s="69" t="s">
        <v>54</v>
      </c>
      <c r="N24" s="21"/>
      <c r="O24" s="21" t="s">
        <v>85</v>
      </c>
      <c r="P24" s="21">
        <v>759119903</v>
      </c>
      <c r="Q24" s="21">
        <v>741656771</v>
      </c>
    </row>
    <row r="25" spans="1:18" s="22" customFormat="1" ht="25.05" customHeight="1" x14ac:dyDescent="0.25">
      <c r="A25" s="21">
        <f t="shared" si="0"/>
        <v>11</v>
      </c>
      <c r="B25" s="21" t="s">
        <v>202</v>
      </c>
      <c r="C25" s="21" t="s">
        <v>203</v>
      </c>
      <c r="D25" s="21"/>
      <c r="E25" s="21" t="s">
        <v>38</v>
      </c>
      <c r="F25" s="21"/>
      <c r="G25" s="21" t="s">
        <v>204</v>
      </c>
      <c r="H25" s="21" t="s">
        <v>205</v>
      </c>
      <c r="I25" s="69">
        <v>8</v>
      </c>
      <c r="J25" s="69">
        <v>3</v>
      </c>
      <c r="K25" s="69">
        <v>6</v>
      </c>
      <c r="L25" s="69">
        <v>6</v>
      </c>
      <c r="M25" s="69">
        <v>6</v>
      </c>
      <c r="N25" s="21"/>
      <c r="O25" s="21" t="s">
        <v>41</v>
      </c>
      <c r="P25" s="21">
        <v>703847046</v>
      </c>
      <c r="Q25" s="21">
        <v>770870934</v>
      </c>
    </row>
    <row r="26" spans="1:18" s="22" customFormat="1" ht="25.05" customHeight="1" x14ac:dyDescent="0.25">
      <c r="A26" s="21">
        <f t="shared" si="0"/>
        <v>12</v>
      </c>
      <c r="B26" s="21" t="s">
        <v>314</v>
      </c>
      <c r="C26" s="21" t="s">
        <v>222</v>
      </c>
      <c r="D26" s="21" t="s">
        <v>315</v>
      </c>
      <c r="E26" s="21" t="s">
        <v>38</v>
      </c>
      <c r="F26" s="21"/>
      <c r="G26" s="23">
        <v>39146</v>
      </c>
      <c r="H26" s="21" t="s">
        <v>326</v>
      </c>
      <c r="I26" s="69" t="s">
        <v>54</v>
      </c>
      <c r="J26" s="69" t="s">
        <v>55</v>
      </c>
      <c r="K26" s="69" t="s">
        <v>54</v>
      </c>
      <c r="L26" s="69" t="s">
        <v>55</v>
      </c>
      <c r="M26" s="69" t="s">
        <v>55</v>
      </c>
      <c r="N26" s="21"/>
      <c r="O26" s="31" t="s">
        <v>316</v>
      </c>
      <c r="P26" s="21">
        <v>794932068</v>
      </c>
      <c r="Q26" s="21"/>
    </row>
    <row r="27" spans="1:18" s="22" customFormat="1" ht="25.05" customHeight="1" x14ac:dyDescent="0.25">
      <c r="A27" s="21">
        <f t="shared" si="0"/>
        <v>13</v>
      </c>
      <c r="B27" s="21" t="s">
        <v>94</v>
      </c>
      <c r="C27" s="21" t="s">
        <v>37</v>
      </c>
      <c r="D27" s="21"/>
      <c r="E27" s="21" t="s">
        <v>38</v>
      </c>
      <c r="F27" s="21"/>
      <c r="G27" s="23">
        <v>38936</v>
      </c>
      <c r="H27" s="21" t="s">
        <v>95</v>
      </c>
      <c r="I27" s="69" t="s">
        <v>79</v>
      </c>
      <c r="J27" s="69" t="s">
        <v>79</v>
      </c>
      <c r="K27" s="69" t="s">
        <v>54</v>
      </c>
      <c r="L27" s="69" t="s">
        <v>54</v>
      </c>
      <c r="M27" s="69" t="s">
        <v>54</v>
      </c>
      <c r="N27" s="21"/>
      <c r="O27" s="21" t="s">
        <v>96</v>
      </c>
      <c r="P27" s="21">
        <v>744054446</v>
      </c>
      <c r="Q27" s="21">
        <v>704719774</v>
      </c>
      <c r="R27" s="22" t="s">
        <v>297</v>
      </c>
    </row>
    <row r="28" spans="1:18" s="22" customFormat="1" ht="25.05" customHeight="1" x14ac:dyDescent="0.25">
      <c r="A28" s="21">
        <f t="shared" si="0"/>
        <v>14</v>
      </c>
      <c r="B28" s="21" t="s">
        <v>119</v>
      </c>
      <c r="C28" s="21" t="s">
        <v>115</v>
      </c>
      <c r="D28" s="21"/>
      <c r="E28" s="21" t="s">
        <v>38</v>
      </c>
      <c r="F28" s="21"/>
      <c r="G28" s="23">
        <v>38535</v>
      </c>
      <c r="H28" s="21" t="s">
        <v>120</v>
      </c>
      <c r="I28" s="69" t="s">
        <v>55</v>
      </c>
      <c r="J28" s="69" t="s">
        <v>55</v>
      </c>
      <c r="K28" s="69" t="s">
        <v>55</v>
      </c>
      <c r="L28" s="69" t="s">
        <v>55</v>
      </c>
      <c r="M28" s="69" t="s">
        <v>55</v>
      </c>
      <c r="N28" s="21"/>
      <c r="O28" s="21" t="s">
        <v>41</v>
      </c>
      <c r="P28" s="21">
        <v>705425358</v>
      </c>
      <c r="Q28" s="21">
        <v>701097510</v>
      </c>
    </row>
    <row r="29" spans="1:18" s="22" customFormat="1" ht="25.05" customHeight="1" x14ac:dyDescent="0.25">
      <c r="A29" s="21">
        <f t="shared" si="0"/>
        <v>15</v>
      </c>
      <c r="B29" s="21" t="s">
        <v>174</v>
      </c>
      <c r="C29" s="21" t="s">
        <v>175</v>
      </c>
      <c r="D29" s="21"/>
      <c r="E29" s="21" t="s">
        <v>46</v>
      </c>
      <c r="F29" s="21"/>
      <c r="G29" s="23">
        <v>37811</v>
      </c>
      <c r="H29" s="21" t="s">
        <v>176</v>
      </c>
      <c r="I29" s="69">
        <v>7</v>
      </c>
      <c r="J29" s="69">
        <v>8</v>
      </c>
      <c r="K29" s="69">
        <v>6</v>
      </c>
      <c r="L29" s="69">
        <v>8</v>
      </c>
      <c r="M29" s="69">
        <v>8</v>
      </c>
      <c r="N29" s="21"/>
      <c r="O29" s="21" t="s">
        <v>85</v>
      </c>
      <c r="P29" s="21">
        <v>740878657</v>
      </c>
      <c r="Q29" s="21">
        <v>751760627</v>
      </c>
    </row>
    <row r="30" spans="1:18" s="22" customFormat="1" ht="25.05" customHeight="1" x14ac:dyDescent="0.25">
      <c r="A30" s="21">
        <f t="shared" si="0"/>
        <v>16</v>
      </c>
      <c r="B30" s="21" t="s">
        <v>64</v>
      </c>
      <c r="C30" s="21" t="s">
        <v>65</v>
      </c>
      <c r="D30" s="21"/>
      <c r="E30" s="21" t="s">
        <v>38</v>
      </c>
      <c r="F30" s="21"/>
      <c r="G30" s="43">
        <v>38233</v>
      </c>
      <c r="H30" s="21" t="s">
        <v>66</v>
      </c>
      <c r="I30" s="69" t="s">
        <v>55</v>
      </c>
      <c r="J30" s="69" t="s">
        <v>55</v>
      </c>
      <c r="K30" s="69" t="s">
        <v>55</v>
      </c>
      <c r="L30" s="69" t="s">
        <v>55</v>
      </c>
      <c r="M30" s="69" t="s">
        <v>55</v>
      </c>
      <c r="N30" s="21"/>
      <c r="O30" s="21" t="s">
        <v>67</v>
      </c>
      <c r="P30" s="21">
        <v>746183488</v>
      </c>
      <c r="Q30" s="21">
        <v>781569036</v>
      </c>
    </row>
    <row r="31" spans="1:18" s="22" customFormat="1" ht="25.05" customHeight="1" x14ac:dyDescent="0.25">
      <c r="A31" s="21">
        <f t="shared" si="0"/>
        <v>17</v>
      </c>
      <c r="B31" s="21" t="s">
        <v>86</v>
      </c>
      <c r="C31" s="44" t="s">
        <v>335</v>
      </c>
      <c r="D31" s="21"/>
      <c r="E31" s="21" t="s">
        <v>38</v>
      </c>
      <c r="F31" s="21"/>
      <c r="G31" s="21" t="s">
        <v>88</v>
      </c>
      <c r="H31" s="21" t="s">
        <v>89</v>
      </c>
      <c r="I31" s="69">
        <v>6</v>
      </c>
      <c r="J31" s="69">
        <v>3</v>
      </c>
      <c r="K31" s="69">
        <v>7</v>
      </c>
      <c r="L31" s="69">
        <v>6</v>
      </c>
      <c r="M31" s="69">
        <v>6</v>
      </c>
      <c r="N31" s="21"/>
      <c r="O31" s="21" t="s">
        <v>85</v>
      </c>
      <c r="P31" s="21">
        <v>704042412</v>
      </c>
      <c r="Q31" s="21">
        <v>701396940</v>
      </c>
    </row>
    <row r="32" spans="1:18" s="22" customFormat="1" ht="25.05" customHeight="1" x14ac:dyDescent="0.25">
      <c r="A32" s="21">
        <f t="shared" si="0"/>
        <v>18</v>
      </c>
      <c r="B32" s="21" t="s">
        <v>216</v>
      </c>
      <c r="C32" s="21" t="s">
        <v>217</v>
      </c>
      <c r="D32" s="21"/>
      <c r="E32" s="21" t="s">
        <v>38</v>
      </c>
      <c r="F32" s="21"/>
      <c r="G32" s="21" t="s">
        <v>218</v>
      </c>
      <c r="H32" s="21" t="s">
        <v>219</v>
      </c>
      <c r="I32" s="69" t="s">
        <v>54</v>
      </c>
      <c r="J32" s="69" t="s">
        <v>55</v>
      </c>
      <c r="K32" s="69" t="s">
        <v>55</v>
      </c>
      <c r="L32" s="69" t="s">
        <v>54</v>
      </c>
      <c r="M32" s="69" t="s">
        <v>55</v>
      </c>
      <c r="N32" s="21"/>
      <c r="O32" s="21" t="s">
        <v>220</v>
      </c>
      <c r="P32" s="21">
        <v>705996658</v>
      </c>
      <c r="Q32" s="21">
        <v>756288214</v>
      </c>
    </row>
    <row r="33" spans="1:17" s="22" customFormat="1" ht="25.05" customHeight="1" x14ac:dyDescent="0.25">
      <c r="A33" s="21">
        <f t="shared" si="0"/>
        <v>19</v>
      </c>
      <c r="B33" s="21" t="s">
        <v>121</v>
      </c>
      <c r="C33" s="21" t="s">
        <v>122</v>
      </c>
      <c r="D33" s="21"/>
      <c r="E33" s="21" t="s">
        <v>46</v>
      </c>
      <c r="F33" s="21"/>
      <c r="G33" s="23">
        <v>38269</v>
      </c>
      <c r="H33" s="21" t="s">
        <v>123</v>
      </c>
      <c r="I33" s="69" t="s">
        <v>54</v>
      </c>
      <c r="J33" s="69" t="s">
        <v>54</v>
      </c>
      <c r="K33" s="69" t="s">
        <v>79</v>
      </c>
      <c r="L33" s="69" t="s">
        <v>54</v>
      </c>
      <c r="M33" s="69" t="s">
        <v>79</v>
      </c>
      <c r="N33" s="21"/>
      <c r="O33" s="21" t="s">
        <v>124</v>
      </c>
      <c r="P33" s="21">
        <v>768402151</v>
      </c>
      <c r="Q33" s="21">
        <v>773102240</v>
      </c>
    </row>
    <row r="34" spans="1:17" s="22" customFormat="1" ht="25.05" customHeight="1" x14ac:dyDescent="0.25">
      <c r="A34" s="21">
        <f t="shared" si="0"/>
        <v>20</v>
      </c>
      <c r="B34" s="21" t="s">
        <v>294</v>
      </c>
      <c r="C34" s="21" t="s">
        <v>260</v>
      </c>
      <c r="D34" s="21"/>
      <c r="E34" s="21" t="s">
        <v>38</v>
      </c>
      <c r="F34" s="21"/>
      <c r="G34" s="23">
        <v>37987</v>
      </c>
      <c r="H34" s="21" t="s">
        <v>295</v>
      </c>
      <c r="I34" s="69" t="s">
        <v>54</v>
      </c>
      <c r="J34" s="69" t="s">
        <v>54</v>
      </c>
      <c r="K34" s="69" t="s">
        <v>54</v>
      </c>
      <c r="L34" s="69" t="s">
        <v>55</v>
      </c>
      <c r="M34" s="69" t="s">
        <v>55</v>
      </c>
      <c r="N34" s="21"/>
      <c r="O34" s="21" t="s">
        <v>289</v>
      </c>
      <c r="P34" s="21">
        <v>759445712</v>
      </c>
      <c r="Q34" s="21">
        <v>779465285</v>
      </c>
    </row>
    <row r="35" spans="1:17" s="22" customFormat="1" ht="25.05" customHeight="1" x14ac:dyDescent="0.25">
      <c r="A35" s="21">
        <f t="shared" si="0"/>
        <v>21</v>
      </c>
      <c r="B35" s="21" t="s">
        <v>250</v>
      </c>
      <c r="C35" s="21" t="s">
        <v>65</v>
      </c>
      <c r="D35" s="21"/>
      <c r="E35" s="21" t="s">
        <v>38</v>
      </c>
      <c r="F35" s="21"/>
      <c r="G35" s="21" t="s">
        <v>251</v>
      </c>
      <c r="H35" s="21" t="s">
        <v>252</v>
      </c>
      <c r="I35" s="69" t="s">
        <v>54</v>
      </c>
      <c r="J35" s="69" t="s">
        <v>55</v>
      </c>
      <c r="K35" s="69" t="s">
        <v>54</v>
      </c>
      <c r="L35" s="69" t="s">
        <v>54</v>
      </c>
      <c r="M35" s="69" t="s">
        <v>55</v>
      </c>
      <c r="N35" s="21"/>
      <c r="O35" s="21" t="s">
        <v>253</v>
      </c>
      <c r="P35" s="21">
        <v>744238911</v>
      </c>
      <c r="Q35" s="21">
        <v>759789703</v>
      </c>
    </row>
    <row r="36" spans="1:17" s="22" customFormat="1" ht="25.05" customHeight="1" x14ac:dyDescent="0.25">
      <c r="A36" s="21">
        <f t="shared" si="0"/>
        <v>22</v>
      </c>
      <c r="B36" s="21" t="s">
        <v>307</v>
      </c>
      <c r="C36" s="21" t="s">
        <v>308</v>
      </c>
      <c r="D36" s="21"/>
      <c r="E36" s="21" t="s">
        <v>46</v>
      </c>
      <c r="F36" s="21"/>
      <c r="G36" s="21" t="s">
        <v>321</v>
      </c>
      <c r="H36" s="21" t="s">
        <v>312</v>
      </c>
      <c r="I36" s="69">
        <v>6</v>
      </c>
      <c r="J36" s="69">
        <v>4</v>
      </c>
      <c r="K36" s="69">
        <v>7</v>
      </c>
      <c r="L36" s="69">
        <v>7</v>
      </c>
      <c r="M36" s="69">
        <v>7</v>
      </c>
      <c r="N36" s="21"/>
      <c r="O36" s="21" t="s">
        <v>313</v>
      </c>
      <c r="P36" s="21">
        <v>709019237</v>
      </c>
      <c r="Q36" s="21"/>
    </row>
    <row r="37" spans="1:17" s="22" customFormat="1" ht="25.05" customHeight="1" x14ac:dyDescent="0.25">
      <c r="A37" s="21">
        <f t="shared" si="0"/>
        <v>23</v>
      </c>
      <c r="B37" s="21" t="s">
        <v>36</v>
      </c>
      <c r="C37" s="21" t="s">
        <v>37</v>
      </c>
      <c r="D37" s="21"/>
      <c r="E37" s="21" t="s">
        <v>38</v>
      </c>
      <c r="F37" s="21"/>
      <c r="G37" s="21" t="s">
        <v>39</v>
      </c>
      <c r="H37" s="21" t="s">
        <v>40</v>
      </c>
      <c r="I37" s="69">
        <v>4</v>
      </c>
      <c r="J37" s="69">
        <v>6</v>
      </c>
      <c r="K37" s="69">
        <v>7</v>
      </c>
      <c r="L37" s="69">
        <v>8</v>
      </c>
      <c r="M37" s="69">
        <v>8</v>
      </c>
      <c r="N37" s="21"/>
      <c r="O37" s="21" t="s">
        <v>41</v>
      </c>
      <c r="P37" s="21">
        <v>775443432</v>
      </c>
      <c r="Q37" s="21" t="s">
        <v>42</v>
      </c>
    </row>
    <row r="38" spans="1:17" s="22" customFormat="1" ht="25.05" customHeight="1" x14ac:dyDescent="0.25">
      <c r="A38" s="21">
        <f t="shared" si="0"/>
        <v>24</v>
      </c>
      <c r="B38" s="21" t="s">
        <v>154</v>
      </c>
      <c r="C38" s="21" t="s">
        <v>155</v>
      </c>
      <c r="D38" s="21"/>
      <c r="E38" s="21" t="s">
        <v>46</v>
      </c>
      <c r="F38" s="21"/>
      <c r="G38" s="23">
        <v>39212</v>
      </c>
      <c r="H38" s="21" t="s">
        <v>156</v>
      </c>
      <c r="I38" s="69" t="s">
        <v>54</v>
      </c>
      <c r="J38" s="69" t="s">
        <v>79</v>
      </c>
      <c r="K38" s="69" t="s">
        <v>54</v>
      </c>
      <c r="L38" s="69" t="s">
        <v>79</v>
      </c>
      <c r="M38" s="69" t="s">
        <v>79</v>
      </c>
      <c r="N38" s="21"/>
      <c r="O38" s="21" t="s">
        <v>56</v>
      </c>
      <c r="P38" s="21">
        <v>742434155</v>
      </c>
      <c r="Q38" s="21">
        <v>776864477</v>
      </c>
    </row>
    <row r="39" spans="1:17" s="22" customFormat="1" ht="25.05" customHeight="1" x14ac:dyDescent="0.25">
      <c r="A39" s="21">
        <f t="shared" si="0"/>
        <v>25</v>
      </c>
      <c r="B39" s="21" t="s">
        <v>301</v>
      </c>
      <c r="C39" s="21" t="s">
        <v>302</v>
      </c>
      <c r="D39" s="21" t="s">
        <v>163</v>
      </c>
      <c r="E39" s="21" t="s">
        <v>38</v>
      </c>
      <c r="F39" s="21"/>
      <c r="G39" s="23">
        <v>38453</v>
      </c>
      <c r="H39" s="21" t="s">
        <v>303</v>
      </c>
      <c r="I39" s="69" t="s">
        <v>79</v>
      </c>
      <c r="J39" s="69" t="s">
        <v>55</v>
      </c>
      <c r="K39" s="69" t="s">
        <v>54</v>
      </c>
      <c r="L39" s="69" t="s">
        <v>55</v>
      </c>
      <c r="M39" s="69" t="s">
        <v>54</v>
      </c>
      <c r="N39" s="21"/>
      <c r="O39" s="21" t="s">
        <v>304</v>
      </c>
      <c r="P39" s="21">
        <v>744454668</v>
      </c>
      <c r="Q39" s="21">
        <v>701447912</v>
      </c>
    </row>
    <row r="40" spans="1:17" s="22" customFormat="1" ht="25.05" customHeight="1" x14ac:dyDescent="0.25">
      <c r="A40" s="46"/>
      <c r="B40" s="51" t="s">
        <v>346</v>
      </c>
      <c r="C40" s="51"/>
      <c r="D40" s="51"/>
      <c r="E40" s="51"/>
      <c r="F40" s="51"/>
      <c r="G40" s="51"/>
      <c r="H40" s="51"/>
      <c r="I40" s="70"/>
      <c r="J40" s="70"/>
      <c r="K40" s="70"/>
      <c r="L40" s="70"/>
      <c r="M40" s="70"/>
      <c r="N40" s="51"/>
      <c r="O40" s="41"/>
      <c r="P40" s="41"/>
      <c r="Q40" s="41"/>
    </row>
    <row r="41" spans="1:17" s="22" customFormat="1" ht="25.05" customHeight="1" x14ac:dyDescent="0.25">
      <c r="A41" s="41"/>
      <c r="B41" s="40"/>
      <c r="C41" s="40"/>
      <c r="D41" s="40"/>
      <c r="E41" s="40"/>
      <c r="F41" s="40"/>
      <c r="G41" s="40"/>
      <c r="H41" s="88" t="s">
        <v>347</v>
      </c>
      <c r="I41" s="88"/>
      <c r="J41" s="88"/>
      <c r="K41" s="88"/>
      <c r="L41" s="88"/>
      <c r="M41" s="88"/>
      <c r="N41" s="88"/>
      <c r="O41" s="41"/>
      <c r="P41" s="41"/>
      <c r="Q41" s="41"/>
    </row>
    <row r="42" spans="1:17" s="22" customFormat="1" ht="25.05" customHeight="1" x14ac:dyDescent="0.25">
      <c r="A42" s="21">
        <f>1+A39</f>
        <v>26</v>
      </c>
      <c r="B42" s="21" t="s">
        <v>274</v>
      </c>
      <c r="C42" s="21" t="s">
        <v>114</v>
      </c>
      <c r="D42" s="21"/>
      <c r="E42" s="21" t="s">
        <v>38</v>
      </c>
      <c r="F42" s="21"/>
      <c r="G42" s="21" t="s">
        <v>275</v>
      </c>
      <c r="H42" s="21" t="s">
        <v>276</v>
      </c>
      <c r="I42" s="69">
        <v>8</v>
      </c>
      <c r="J42" s="69">
        <v>7</v>
      </c>
      <c r="K42" s="69">
        <v>8</v>
      </c>
      <c r="L42" s="69">
        <v>8</v>
      </c>
      <c r="M42" s="69">
        <v>8</v>
      </c>
      <c r="N42" s="21"/>
      <c r="O42" s="21" t="s">
        <v>129</v>
      </c>
      <c r="P42" s="21">
        <v>784995074</v>
      </c>
      <c r="Q42" s="21">
        <v>783234791</v>
      </c>
    </row>
    <row r="43" spans="1:17" s="22" customFormat="1" ht="25.05" customHeight="1" x14ac:dyDescent="0.25">
      <c r="A43" s="21">
        <f t="shared" si="0"/>
        <v>27</v>
      </c>
      <c r="B43" s="21" t="s">
        <v>286</v>
      </c>
      <c r="C43" s="21" t="s">
        <v>260</v>
      </c>
      <c r="D43" s="21"/>
      <c r="E43" s="21" t="s">
        <v>38</v>
      </c>
      <c r="F43" s="21"/>
      <c r="G43" s="21" t="s">
        <v>287</v>
      </c>
      <c r="H43" s="21" t="s">
        <v>288</v>
      </c>
      <c r="I43" s="69" t="s">
        <v>54</v>
      </c>
      <c r="J43" s="69" t="s">
        <v>55</v>
      </c>
      <c r="K43" s="69" t="s">
        <v>54</v>
      </c>
      <c r="L43" s="69" t="s">
        <v>55</v>
      </c>
      <c r="M43" s="69" t="s">
        <v>55</v>
      </c>
      <c r="N43" s="21"/>
      <c r="O43" s="21" t="s">
        <v>289</v>
      </c>
      <c r="P43" s="21">
        <v>751535524</v>
      </c>
      <c r="Q43" s="21">
        <v>701794006</v>
      </c>
    </row>
    <row r="44" spans="1:17" s="22" customFormat="1" ht="25.05" customHeight="1" x14ac:dyDescent="0.25">
      <c r="A44" s="21">
        <f>1+A43</f>
        <v>28</v>
      </c>
      <c r="B44" s="21" t="s">
        <v>139</v>
      </c>
      <c r="C44" s="21" t="s">
        <v>290</v>
      </c>
      <c r="D44" s="21" t="s">
        <v>291</v>
      </c>
      <c r="E44" s="21" t="s">
        <v>38</v>
      </c>
      <c r="F44" s="21"/>
      <c r="G44" s="23">
        <v>39150</v>
      </c>
      <c r="H44" s="21" t="s">
        <v>292</v>
      </c>
      <c r="I44" s="69" t="s">
        <v>54</v>
      </c>
      <c r="J44" s="69" t="s">
        <v>79</v>
      </c>
      <c r="K44" s="69" t="s">
        <v>54</v>
      </c>
      <c r="L44" s="69" t="s">
        <v>55</v>
      </c>
      <c r="M44" s="69" t="s">
        <v>54</v>
      </c>
      <c r="N44" s="21"/>
      <c r="O44" s="21" t="s">
        <v>293</v>
      </c>
      <c r="P44" s="21">
        <v>701792318</v>
      </c>
      <c r="Q44" s="21">
        <v>750877576</v>
      </c>
    </row>
    <row r="45" spans="1:17" s="22" customFormat="1" ht="25.05" customHeight="1" x14ac:dyDescent="0.25">
      <c r="A45" s="21">
        <f t="shared" si="0"/>
        <v>29</v>
      </c>
      <c r="B45" s="21" t="s">
        <v>305</v>
      </c>
      <c r="C45" s="21" t="s">
        <v>306</v>
      </c>
      <c r="D45" s="21"/>
      <c r="E45" s="21" t="s">
        <v>38</v>
      </c>
      <c r="F45" s="21"/>
      <c r="G45" s="23">
        <v>38202</v>
      </c>
      <c r="H45" s="21" t="s">
        <v>324</v>
      </c>
      <c r="I45" s="69" t="s">
        <v>55</v>
      </c>
      <c r="J45" s="69" t="s">
        <v>55</v>
      </c>
      <c r="K45" s="69" t="s">
        <v>55</v>
      </c>
      <c r="L45" s="69" t="s">
        <v>55</v>
      </c>
      <c r="M45" s="69" t="s">
        <v>54</v>
      </c>
      <c r="N45" s="21"/>
      <c r="O45" s="21" t="s">
        <v>41</v>
      </c>
      <c r="P45" s="21">
        <v>701164583</v>
      </c>
      <c r="Q45" s="21"/>
    </row>
    <row r="46" spans="1:17" s="22" customFormat="1" ht="25.05" customHeight="1" x14ac:dyDescent="0.25">
      <c r="A46" s="21">
        <f t="shared" si="0"/>
        <v>30</v>
      </c>
      <c r="B46" s="21" t="s">
        <v>336</v>
      </c>
      <c r="C46" s="21" t="s">
        <v>337</v>
      </c>
      <c r="D46" s="21" t="s">
        <v>338</v>
      </c>
      <c r="E46" s="21" t="s">
        <v>38</v>
      </c>
      <c r="F46" s="21"/>
      <c r="G46" s="21" t="s">
        <v>339</v>
      </c>
      <c r="H46" s="21" t="s">
        <v>340</v>
      </c>
      <c r="I46" s="69" t="s">
        <v>54</v>
      </c>
      <c r="J46" s="69" t="s">
        <v>54</v>
      </c>
      <c r="K46" s="69" t="s">
        <v>79</v>
      </c>
      <c r="L46" s="69" t="s">
        <v>54</v>
      </c>
      <c r="M46" s="69" t="s">
        <v>79</v>
      </c>
      <c r="N46" s="21"/>
      <c r="O46" s="21" t="s">
        <v>41</v>
      </c>
      <c r="P46" s="21">
        <v>756743167</v>
      </c>
      <c r="Q46" s="21">
        <v>709370324</v>
      </c>
    </row>
    <row r="47" spans="1:17" s="22" customFormat="1" ht="25.05" customHeight="1" x14ac:dyDescent="0.25">
      <c r="A47" s="21">
        <f t="shared" si="0"/>
        <v>31</v>
      </c>
      <c r="B47" s="21" t="s">
        <v>225</v>
      </c>
      <c r="C47" s="21" t="s">
        <v>226</v>
      </c>
      <c r="D47" s="21"/>
      <c r="E47" s="21" t="s">
        <v>38</v>
      </c>
      <c r="F47" s="21"/>
      <c r="G47" s="21" t="s">
        <v>227</v>
      </c>
      <c r="H47" s="21" t="s">
        <v>228</v>
      </c>
      <c r="I47" s="69" t="s">
        <v>55</v>
      </c>
      <c r="J47" s="69" t="s">
        <v>55</v>
      </c>
      <c r="K47" s="69" t="s">
        <v>55</v>
      </c>
      <c r="L47" s="69" t="s">
        <v>55</v>
      </c>
      <c r="M47" s="69" t="s">
        <v>55</v>
      </c>
      <c r="N47" s="21"/>
      <c r="O47" s="21" t="s">
        <v>220</v>
      </c>
      <c r="P47" s="21">
        <v>753727413</v>
      </c>
      <c r="Q47" s="21">
        <v>753727413</v>
      </c>
    </row>
    <row r="48" spans="1:17" s="22" customFormat="1" ht="25.05" customHeight="1" x14ac:dyDescent="0.25">
      <c r="A48" s="21">
        <f t="shared" si="0"/>
        <v>32</v>
      </c>
      <c r="B48" s="21" t="s">
        <v>195</v>
      </c>
      <c r="C48" s="21" t="s">
        <v>206</v>
      </c>
      <c r="D48" s="21"/>
      <c r="E48" s="21" t="s">
        <v>38</v>
      </c>
      <c r="F48" s="21"/>
      <c r="G48" s="21" t="s">
        <v>322</v>
      </c>
      <c r="H48" s="21" t="s">
        <v>323</v>
      </c>
      <c r="I48" s="69" t="s">
        <v>54</v>
      </c>
      <c r="J48" s="69" t="s">
        <v>54</v>
      </c>
      <c r="K48" s="69" t="s">
        <v>54</v>
      </c>
      <c r="L48" s="69" t="s">
        <v>54</v>
      </c>
      <c r="M48" s="69" t="s">
        <v>55</v>
      </c>
      <c r="N48" s="21"/>
      <c r="O48" s="21" t="s">
        <v>41</v>
      </c>
      <c r="P48" s="21">
        <v>748101624</v>
      </c>
      <c r="Q48" s="21">
        <v>754164450</v>
      </c>
    </row>
    <row r="49" spans="1:17" s="22" customFormat="1" ht="25.05" customHeight="1" x14ac:dyDescent="0.25">
      <c r="A49" s="21">
        <f t="shared" si="0"/>
        <v>33</v>
      </c>
      <c r="B49" s="21" t="s">
        <v>207</v>
      </c>
      <c r="C49" s="21" t="s">
        <v>208</v>
      </c>
      <c r="D49" s="21"/>
      <c r="E49" s="21" t="s">
        <v>38</v>
      </c>
      <c r="F49" s="21"/>
      <c r="G49" s="23">
        <v>38420</v>
      </c>
      <c r="H49" s="21" t="s">
        <v>209</v>
      </c>
      <c r="I49" s="69" t="s">
        <v>54</v>
      </c>
      <c r="J49" s="69" t="s">
        <v>54</v>
      </c>
      <c r="K49" s="69" t="s">
        <v>79</v>
      </c>
      <c r="L49" s="69" t="s">
        <v>55</v>
      </c>
      <c r="M49" s="69" t="s">
        <v>54</v>
      </c>
      <c r="N49" s="21"/>
      <c r="O49" s="21" t="s">
        <v>41</v>
      </c>
      <c r="P49" s="21"/>
      <c r="Q49" s="21">
        <v>779056544</v>
      </c>
    </row>
    <row r="50" spans="1:17" s="22" customFormat="1" ht="25.05" customHeight="1" x14ac:dyDescent="0.25">
      <c r="A50" s="21">
        <f t="shared" si="0"/>
        <v>34</v>
      </c>
      <c r="B50" s="21" t="s">
        <v>263</v>
      </c>
      <c r="C50" s="21" t="s">
        <v>264</v>
      </c>
      <c r="D50" s="21"/>
      <c r="E50" s="21" t="s">
        <v>38</v>
      </c>
      <c r="F50" s="21"/>
      <c r="G50" s="23">
        <v>36595</v>
      </c>
      <c r="H50" s="21" t="s">
        <v>265</v>
      </c>
      <c r="I50" s="69">
        <v>6</v>
      </c>
      <c r="J50" s="69">
        <v>8</v>
      </c>
      <c r="K50" s="69">
        <v>8</v>
      </c>
      <c r="L50" s="69">
        <v>8</v>
      </c>
      <c r="M50" s="69">
        <v>8</v>
      </c>
      <c r="N50" s="21"/>
      <c r="O50" s="21" t="s">
        <v>96</v>
      </c>
      <c r="P50" s="21">
        <v>704393482</v>
      </c>
      <c r="Q50" s="21">
        <v>706613797</v>
      </c>
    </row>
    <row r="51" spans="1:17" s="22" customFormat="1" ht="25.05" customHeight="1" x14ac:dyDescent="0.25">
      <c r="A51" s="21">
        <f t="shared" si="0"/>
        <v>35</v>
      </c>
      <c r="B51" s="21" t="s">
        <v>247</v>
      </c>
      <c r="C51" s="31" t="s">
        <v>248</v>
      </c>
      <c r="D51" s="21"/>
      <c r="E51" s="21" t="s">
        <v>38</v>
      </c>
      <c r="F51" s="21"/>
      <c r="G51" s="21" t="s">
        <v>117</v>
      </c>
      <c r="H51" s="21" t="s">
        <v>249</v>
      </c>
      <c r="I51" s="69" t="s">
        <v>54</v>
      </c>
      <c r="J51" s="69" t="s">
        <v>55</v>
      </c>
      <c r="K51" s="69" t="s">
        <v>55</v>
      </c>
      <c r="L51" s="69" t="s">
        <v>54</v>
      </c>
      <c r="M51" s="69" t="s">
        <v>54</v>
      </c>
      <c r="N51" s="21"/>
      <c r="O51" s="21" t="s">
        <v>41</v>
      </c>
      <c r="P51" s="21">
        <v>754510204</v>
      </c>
      <c r="Q51" s="21">
        <v>754218130</v>
      </c>
    </row>
    <row r="52" spans="1:17" s="22" customFormat="1" ht="25.05" customHeight="1" x14ac:dyDescent="0.25">
      <c r="A52" s="21">
        <f t="shared" si="0"/>
        <v>36</v>
      </c>
      <c r="B52" s="21" t="s">
        <v>166</v>
      </c>
      <c r="C52" s="21" t="s">
        <v>167</v>
      </c>
      <c r="D52" s="21"/>
      <c r="E52" s="21" t="s">
        <v>38</v>
      </c>
      <c r="F52" s="21"/>
      <c r="G52" s="23">
        <v>39083</v>
      </c>
      <c r="H52" s="21" t="s">
        <v>168</v>
      </c>
      <c r="I52" s="69" t="s">
        <v>54</v>
      </c>
      <c r="J52" s="69" t="s">
        <v>55</v>
      </c>
      <c r="K52" s="69" t="s">
        <v>55</v>
      </c>
      <c r="L52" s="69" t="s">
        <v>55</v>
      </c>
      <c r="M52" s="69" t="s">
        <v>54</v>
      </c>
      <c r="N52" s="21"/>
      <c r="O52" s="21" t="s">
        <v>41</v>
      </c>
      <c r="P52" s="21">
        <v>704851100</v>
      </c>
      <c r="Q52" s="21">
        <v>701222777</v>
      </c>
    </row>
    <row r="53" spans="1:17" s="22" customFormat="1" ht="25.05" customHeight="1" x14ac:dyDescent="0.25">
      <c r="A53" s="21">
        <f t="shared" si="0"/>
        <v>37</v>
      </c>
      <c r="B53" s="21" t="s">
        <v>158</v>
      </c>
      <c r="C53" s="21" t="s">
        <v>159</v>
      </c>
      <c r="D53" s="21"/>
      <c r="E53" s="21" t="s">
        <v>46</v>
      </c>
      <c r="F53" s="21"/>
      <c r="G53" s="21" t="s">
        <v>160</v>
      </c>
      <c r="H53" s="21" t="s">
        <v>161</v>
      </c>
      <c r="I53" s="69">
        <v>4</v>
      </c>
      <c r="J53" s="69">
        <v>2</v>
      </c>
      <c r="K53" s="69">
        <v>5</v>
      </c>
      <c r="L53" s="69">
        <v>5</v>
      </c>
      <c r="M53" s="69">
        <v>5</v>
      </c>
      <c r="N53" s="21"/>
      <c r="O53" s="21" t="s">
        <v>41</v>
      </c>
      <c r="P53" s="21">
        <v>704050142</v>
      </c>
      <c r="Q53" s="21">
        <v>787298463</v>
      </c>
    </row>
    <row r="54" spans="1:17" s="22" customFormat="1" ht="25.05" customHeight="1" x14ac:dyDescent="0.25">
      <c r="A54" s="21">
        <f t="shared" si="0"/>
        <v>38</v>
      </c>
      <c r="B54" s="21" t="s">
        <v>97</v>
      </c>
      <c r="C54" s="21" t="s">
        <v>98</v>
      </c>
      <c r="D54" s="21"/>
      <c r="E54" s="21" t="s">
        <v>38</v>
      </c>
      <c r="F54" s="21"/>
      <c r="G54" s="23">
        <v>38475</v>
      </c>
      <c r="H54" s="21" t="s">
        <v>99</v>
      </c>
      <c r="I54" s="69" t="s">
        <v>54</v>
      </c>
      <c r="J54" s="69" t="s">
        <v>55</v>
      </c>
      <c r="K54" s="69" t="s">
        <v>55</v>
      </c>
      <c r="L54" s="69" t="s">
        <v>55</v>
      </c>
      <c r="M54" s="69" t="s">
        <v>55</v>
      </c>
      <c r="N54" s="21"/>
      <c r="O54" s="21" t="s">
        <v>56</v>
      </c>
      <c r="P54" s="21">
        <v>743851737</v>
      </c>
      <c r="Q54" s="21">
        <v>753341687</v>
      </c>
    </row>
    <row r="55" spans="1:17" s="22" customFormat="1" ht="25.05" customHeight="1" x14ac:dyDescent="0.25">
      <c r="A55" s="21">
        <f t="shared" si="0"/>
        <v>39</v>
      </c>
      <c r="B55" s="21" t="s">
        <v>50</v>
      </c>
      <c r="C55" s="21" t="s">
        <v>51</v>
      </c>
      <c r="D55" s="21"/>
      <c r="E55" s="21" t="s">
        <v>38</v>
      </c>
      <c r="F55" s="21"/>
      <c r="G55" s="21" t="s">
        <v>52</v>
      </c>
      <c r="H55" s="21" t="s">
        <v>53</v>
      </c>
      <c r="I55" s="69" t="s">
        <v>54</v>
      </c>
      <c r="J55" s="69" t="s">
        <v>55</v>
      </c>
      <c r="K55" s="69" t="s">
        <v>54</v>
      </c>
      <c r="L55" s="69" t="s">
        <v>55</v>
      </c>
      <c r="M55" s="69" t="s">
        <v>55</v>
      </c>
      <c r="N55" s="21"/>
      <c r="O55" s="21" t="s">
        <v>56</v>
      </c>
      <c r="P55" s="21">
        <v>704212427</v>
      </c>
      <c r="Q55" s="21" t="s">
        <v>57</v>
      </c>
    </row>
    <row r="56" spans="1:17" s="22" customFormat="1" ht="25.05" customHeight="1" x14ac:dyDescent="0.25">
      <c r="A56" s="21">
        <f t="shared" si="0"/>
        <v>40</v>
      </c>
      <c r="B56" s="21" t="s">
        <v>237</v>
      </c>
      <c r="C56" s="21" t="s">
        <v>238</v>
      </c>
      <c r="D56" s="21"/>
      <c r="E56" s="21" t="s">
        <v>38</v>
      </c>
      <c r="F56" s="21"/>
      <c r="G56" s="21" t="s">
        <v>239</v>
      </c>
      <c r="H56" s="21" t="s">
        <v>240</v>
      </c>
      <c r="I56" s="69">
        <v>6</v>
      </c>
      <c r="J56" s="69">
        <v>6</v>
      </c>
      <c r="K56" s="69">
        <v>7</v>
      </c>
      <c r="L56" s="69">
        <v>8</v>
      </c>
      <c r="M56" s="69">
        <v>6</v>
      </c>
      <c r="N56" s="21"/>
      <c r="O56" s="31" t="s">
        <v>241</v>
      </c>
      <c r="P56" s="21">
        <v>788146110</v>
      </c>
      <c r="Q56" s="21">
        <v>774771162</v>
      </c>
    </row>
    <row r="57" spans="1:17" s="49" customFormat="1" ht="25.05" customHeight="1" x14ac:dyDescent="0.25">
      <c r="A57" s="21">
        <f t="shared" si="0"/>
        <v>41</v>
      </c>
      <c r="B57" s="21" t="s">
        <v>177</v>
      </c>
      <c r="C57" s="21" t="s">
        <v>178</v>
      </c>
      <c r="D57" s="21"/>
      <c r="E57" s="21" t="s">
        <v>46</v>
      </c>
      <c r="F57" s="21"/>
      <c r="G57" s="23">
        <v>38659</v>
      </c>
      <c r="H57" s="21" t="s">
        <v>179</v>
      </c>
      <c r="I57" s="69" t="s">
        <v>79</v>
      </c>
      <c r="J57" s="69" t="s">
        <v>55</v>
      </c>
      <c r="K57" s="69" t="s">
        <v>55</v>
      </c>
      <c r="L57" s="69" t="s">
        <v>55</v>
      </c>
      <c r="M57" s="69" t="s">
        <v>54</v>
      </c>
      <c r="N57" s="21"/>
      <c r="O57" s="21" t="s">
        <v>118</v>
      </c>
      <c r="P57" s="21">
        <v>781427408</v>
      </c>
      <c r="Q57" s="21">
        <v>781427408</v>
      </c>
    </row>
    <row r="58" spans="1:17" s="49" customFormat="1" ht="25.05" customHeight="1" x14ac:dyDescent="0.25">
      <c r="A58" s="97" t="s">
        <v>346</v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15"/>
    </row>
    <row r="59" spans="1:17" s="49" customFormat="1" ht="25.05" customHeight="1" x14ac:dyDescent="0.25">
      <c r="A59" s="15"/>
      <c r="B59" s="41"/>
      <c r="C59" s="40"/>
      <c r="D59" s="40"/>
      <c r="E59" s="40"/>
      <c r="F59" s="40"/>
      <c r="G59" s="40"/>
      <c r="H59" s="40"/>
      <c r="I59" s="88" t="s">
        <v>347</v>
      </c>
      <c r="J59" s="88"/>
      <c r="K59" s="88"/>
      <c r="L59" s="88"/>
      <c r="M59" s="88"/>
      <c r="N59" s="88"/>
      <c r="O59" s="88"/>
      <c r="P59" s="41"/>
      <c r="Q59" s="15"/>
    </row>
    <row r="60" spans="1:17" s="49" customFormat="1" ht="25.05" customHeight="1" x14ac:dyDescent="0.25">
      <c r="A60" s="15"/>
      <c r="B60" s="46"/>
      <c r="C60" s="45"/>
      <c r="D60" s="45"/>
      <c r="E60" s="45"/>
      <c r="F60" s="45"/>
      <c r="G60" s="45"/>
      <c r="H60" s="45"/>
      <c r="I60" s="70"/>
      <c r="J60" s="70"/>
      <c r="K60" s="70"/>
      <c r="L60" s="70"/>
      <c r="M60" s="70"/>
      <c r="N60" s="45"/>
      <c r="O60" s="45"/>
      <c r="P60" s="46"/>
      <c r="Q60" s="15"/>
    </row>
    <row r="61" spans="1:17" s="49" customFormat="1" ht="25.05" customHeight="1" x14ac:dyDescent="0.25">
      <c r="A61" s="15"/>
      <c r="B61" s="15"/>
      <c r="C61" s="15"/>
      <c r="D61" s="15"/>
      <c r="E61" s="15"/>
      <c r="F61" s="15"/>
      <c r="G61" s="64"/>
      <c r="H61" s="15"/>
      <c r="I61" s="70"/>
      <c r="J61" s="70"/>
      <c r="K61" s="70"/>
      <c r="L61" s="70"/>
      <c r="M61" s="70"/>
      <c r="N61" s="15"/>
      <c r="O61" s="15"/>
      <c r="P61" s="15"/>
      <c r="Q61" s="15"/>
    </row>
    <row r="62" spans="1:17" s="22" customFormat="1" ht="25.05" customHeight="1" x14ac:dyDescent="0.25">
      <c r="A62" s="21">
        <f>1+A57</f>
        <v>42</v>
      </c>
      <c r="B62" s="21" t="s">
        <v>180</v>
      </c>
      <c r="C62" s="21" t="s">
        <v>181</v>
      </c>
      <c r="D62" s="21" t="s">
        <v>182</v>
      </c>
      <c r="E62" s="21" t="s">
        <v>46</v>
      </c>
      <c r="F62" s="21"/>
      <c r="G62" s="23">
        <v>38596</v>
      </c>
      <c r="H62" s="21" t="s">
        <v>183</v>
      </c>
      <c r="I62" s="69" t="s">
        <v>54</v>
      </c>
      <c r="J62" s="69" t="s">
        <v>54</v>
      </c>
      <c r="K62" s="69" t="s">
        <v>54</v>
      </c>
      <c r="L62" s="69" t="s">
        <v>79</v>
      </c>
      <c r="M62" s="69" t="s">
        <v>55</v>
      </c>
      <c r="N62" s="21"/>
      <c r="O62" s="21" t="s">
        <v>129</v>
      </c>
      <c r="P62" s="21">
        <v>765438333</v>
      </c>
      <c r="Q62" s="21">
        <v>787527075</v>
      </c>
    </row>
    <row r="63" spans="1:17" s="22" customFormat="1" ht="25.05" customHeight="1" x14ac:dyDescent="0.25">
      <c r="A63" s="21">
        <f t="shared" si="0"/>
        <v>43</v>
      </c>
      <c r="B63" s="21" t="s">
        <v>71</v>
      </c>
      <c r="C63" s="21" t="s">
        <v>72</v>
      </c>
      <c r="D63" s="21"/>
      <c r="E63" s="21" t="s">
        <v>38</v>
      </c>
      <c r="F63" s="21"/>
      <c r="G63" s="21" t="s">
        <v>73</v>
      </c>
      <c r="H63" s="21" t="s">
        <v>74</v>
      </c>
      <c r="I63" s="69" t="s">
        <v>54</v>
      </c>
      <c r="J63" s="69" t="s">
        <v>55</v>
      </c>
      <c r="K63" s="69" t="s">
        <v>54</v>
      </c>
      <c r="L63" s="69" t="s">
        <v>55</v>
      </c>
      <c r="M63" s="69" t="s">
        <v>54</v>
      </c>
      <c r="N63" s="21"/>
      <c r="O63" s="21" t="s">
        <v>67</v>
      </c>
      <c r="P63" s="21">
        <v>744255677</v>
      </c>
      <c r="Q63" s="21">
        <v>700768295</v>
      </c>
    </row>
    <row r="64" spans="1:17" s="22" customFormat="1" ht="25.05" customHeight="1" x14ac:dyDescent="0.25">
      <c r="A64" s="21">
        <f t="shared" si="0"/>
        <v>44</v>
      </c>
      <c r="B64" s="21" t="s">
        <v>113</v>
      </c>
      <c r="C64" s="21" t="s">
        <v>114</v>
      </c>
      <c r="D64" s="21" t="s">
        <v>115</v>
      </c>
      <c r="E64" s="21" t="s">
        <v>38</v>
      </c>
      <c r="F64" s="21"/>
      <c r="G64" s="44" t="s">
        <v>117</v>
      </c>
      <c r="H64" s="21" t="s">
        <v>116</v>
      </c>
      <c r="I64" s="69" t="s">
        <v>54</v>
      </c>
      <c r="J64" s="69" t="s">
        <v>54</v>
      </c>
      <c r="K64" s="69" t="s">
        <v>54</v>
      </c>
      <c r="L64" s="69" t="s">
        <v>55</v>
      </c>
      <c r="M64" s="69" t="s">
        <v>54</v>
      </c>
      <c r="N64" s="21"/>
      <c r="O64" s="21" t="s">
        <v>118</v>
      </c>
      <c r="P64" s="21">
        <v>768243450</v>
      </c>
      <c r="Q64" s="21">
        <v>771588493</v>
      </c>
    </row>
    <row r="65" spans="1:17" s="22" customFormat="1" ht="25.05" customHeight="1" x14ac:dyDescent="0.25">
      <c r="A65" s="21">
        <f t="shared" si="0"/>
        <v>45</v>
      </c>
      <c r="B65" s="21"/>
      <c r="C65" s="21"/>
      <c r="D65" s="21"/>
      <c r="E65" s="21"/>
      <c r="F65" s="21"/>
      <c r="G65" s="21"/>
      <c r="H65" s="21"/>
      <c r="I65" s="69"/>
      <c r="J65" s="69"/>
      <c r="K65" s="69"/>
      <c r="L65" s="69"/>
      <c r="M65" s="69"/>
      <c r="N65" s="21"/>
      <c r="O65" s="21"/>
      <c r="P65" s="21"/>
      <c r="Q65" s="21"/>
    </row>
    <row r="66" spans="1:17" s="22" customFormat="1" ht="25.05" customHeight="1" x14ac:dyDescent="0.25">
      <c r="A66" s="41"/>
      <c r="B66" s="95" t="s">
        <v>346</v>
      </c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41"/>
    </row>
    <row r="67" spans="1:17" s="22" customFormat="1" ht="25.05" customHeight="1" x14ac:dyDescent="0.25">
      <c r="A67" s="41"/>
      <c r="B67" s="41"/>
      <c r="C67" s="40"/>
      <c r="D67" s="40"/>
      <c r="E67" s="40"/>
      <c r="F67" s="40"/>
      <c r="G67" s="40"/>
      <c r="H67" s="40"/>
      <c r="I67" s="88" t="s">
        <v>347</v>
      </c>
      <c r="J67" s="88"/>
      <c r="K67" s="88"/>
      <c r="L67" s="88"/>
      <c r="M67" s="88"/>
      <c r="N67" s="88"/>
      <c r="O67" s="88"/>
      <c r="P67" s="41"/>
      <c r="Q67" s="41"/>
    </row>
    <row r="68" spans="1:17" s="20" customFormat="1" ht="25.05" customHeight="1" x14ac:dyDescent="0.3">
      <c r="A68" s="41"/>
      <c r="B68" s="52"/>
      <c r="C68" s="52"/>
      <c r="D68" s="52"/>
      <c r="E68" s="52"/>
      <c r="F68" s="52"/>
      <c r="G68" s="52"/>
      <c r="H68" s="52"/>
      <c r="I68" s="71"/>
      <c r="J68" s="71"/>
      <c r="K68" s="71"/>
      <c r="L68" s="71"/>
      <c r="M68" s="71"/>
      <c r="N68" s="52"/>
      <c r="O68" s="52"/>
      <c r="P68" s="52"/>
      <c r="Q68" s="52"/>
    </row>
    <row r="69" spans="1:17" ht="25.05" customHeight="1" x14ac:dyDescent="0.3">
      <c r="A69" s="41"/>
      <c r="B69" s="63"/>
      <c r="C69" s="63"/>
      <c r="D69" s="63"/>
      <c r="E69" s="63"/>
      <c r="F69" s="63"/>
      <c r="G69" s="63"/>
      <c r="H69" s="63"/>
      <c r="I69" s="72"/>
      <c r="J69" s="72"/>
      <c r="K69" s="72"/>
      <c r="L69" s="72"/>
      <c r="M69" s="72"/>
      <c r="N69" s="63"/>
      <c r="O69" s="63"/>
      <c r="P69" s="63"/>
      <c r="Q69" s="63"/>
    </row>
    <row r="70" spans="1:17" ht="25.05" customHeight="1" x14ac:dyDescent="0.3">
      <c r="A70" s="63"/>
      <c r="B70" s="63"/>
      <c r="C70" s="63"/>
      <c r="D70" s="63"/>
      <c r="E70" s="63"/>
      <c r="F70" s="63"/>
      <c r="G70" s="63"/>
      <c r="H70" s="63"/>
      <c r="I70" s="72"/>
      <c r="J70" s="72"/>
      <c r="K70" s="72"/>
      <c r="L70" s="72"/>
      <c r="M70" s="72"/>
      <c r="N70" s="63"/>
      <c r="O70" s="63"/>
      <c r="P70" s="63"/>
      <c r="Q70" s="63"/>
    </row>
    <row r="76" spans="1:17" x14ac:dyDescent="0.3">
      <c r="O76" t="s">
        <v>296</v>
      </c>
    </row>
  </sheetData>
  <sortState ref="A13:R59">
    <sortCondition ref="B13"/>
  </sortState>
  <mergeCells count="13">
    <mergeCell ref="H41:N41"/>
    <mergeCell ref="H22:N22"/>
    <mergeCell ref="I67:O67"/>
    <mergeCell ref="B66:P66"/>
    <mergeCell ref="I59:O59"/>
    <mergeCell ref="A58:P58"/>
    <mergeCell ref="A21:O21"/>
    <mergeCell ref="B11:H11"/>
    <mergeCell ref="C4:F4"/>
    <mergeCell ref="C6:H6"/>
    <mergeCell ref="C7:I7"/>
    <mergeCell ref="B9:K9"/>
    <mergeCell ref="B10:N10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5"/>
  <sheetViews>
    <sheetView topLeftCell="A16" zoomScaleNormal="100" workbookViewId="0">
      <selection activeCell="F14" sqref="F14"/>
    </sheetView>
  </sheetViews>
  <sheetFormatPr defaultRowHeight="14.4" x14ac:dyDescent="0.3"/>
  <cols>
    <col min="1" max="1" width="4" customWidth="1"/>
    <col min="2" max="2" width="15.21875" customWidth="1"/>
    <col min="3" max="3" width="15.44140625" customWidth="1"/>
    <col min="4" max="4" width="11.33203125" customWidth="1"/>
    <col min="5" max="5" width="5.88671875" customWidth="1"/>
    <col min="6" max="6" width="6.109375" customWidth="1"/>
    <col min="7" max="7" width="10.88671875" style="66" customWidth="1"/>
    <col min="8" max="8" width="12.5546875" style="66" customWidth="1"/>
    <col min="9" max="9" width="5.33203125" style="66" customWidth="1"/>
    <col min="10" max="10" width="5.44140625" style="66" customWidth="1"/>
    <col min="11" max="13" width="5.33203125" style="66" customWidth="1"/>
    <col min="14" max="14" width="17.44140625" customWidth="1"/>
    <col min="15" max="15" width="10.88671875" customWidth="1"/>
    <col min="16" max="16" width="12.21875" customWidth="1"/>
    <col min="17" max="17" width="14" customWidth="1"/>
    <col min="18" max="18" width="13.33203125" customWidth="1"/>
  </cols>
  <sheetData>
    <row r="3" spans="1:17" ht="7.8" customHeight="1" x14ac:dyDescent="0.3"/>
    <row r="4" spans="1:17" x14ac:dyDescent="0.3">
      <c r="C4" s="93" t="s">
        <v>0</v>
      </c>
      <c r="D4" s="93"/>
      <c r="E4" s="93"/>
      <c r="F4" s="93"/>
    </row>
    <row r="5" spans="1:17" ht="15" x14ac:dyDescent="0.3">
      <c r="C5" s="90" t="s">
        <v>1</v>
      </c>
      <c r="D5" s="90"/>
      <c r="E5" s="90"/>
      <c r="F5" s="90"/>
      <c r="G5" s="90"/>
      <c r="H5" s="90"/>
    </row>
    <row r="6" spans="1:17" ht="15" x14ac:dyDescent="0.3">
      <c r="C6" s="90" t="s">
        <v>26</v>
      </c>
      <c r="D6" s="90"/>
      <c r="E6" s="90"/>
      <c r="F6" s="90"/>
      <c r="G6" s="90"/>
      <c r="H6" s="90"/>
      <c r="I6" s="90"/>
    </row>
    <row r="7" spans="1:17" ht="7.2" customHeight="1" x14ac:dyDescent="0.3"/>
    <row r="8" spans="1:17" ht="18.600000000000001" customHeight="1" x14ac:dyDescent="0.3">
      <c r="B8" s="33" t="s">
        <v>21</v>
      </c>
      <c r="C8" s="33"/>
      <c r="D8" s="33"/>
      <c r="E8" s="33"/>
      <c r="F8" s="33"/>
      <c r="G8" s="73"/>
      <c r="H8" s="73"/>
      <c r="I8" s="73"/>
      <c r="J8" s="73"/>
      <c r="K8" s="73"/>
      <c r="M8" s="67"/>
      <c r="N8" s="1"/>
      <c r="P8" s="1"/>
    </row>
    <row r="9" spans="1:17" ht="16.2" x14ac:dyDescent="0.35">
      <c r="B9" s="91" t="s">
        <v>300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P9" s="16"/>
    </row>
    <row r="10" spans="1:17" ht="10.8" customHeight="1" x14ac:dyDescent="0.3">
      <c r="B10" s="94"/>
      <c r="C10" s="94"/>
      <c r="D10" s="94"/>
      <c r="E10" s="94"/>
      <c r="F10" s="94"/>
      <c r="G10" s="94"/>
      <c r="H10" s="94"/>
      <c r="N10" s="16"/>
      <c r="P10" s="16"/>
    </row>
    <row r="11" spans="1:17" ht="66.599999999999994" customHeight="1" x14ac:dyDescent="0.3">
      <c r="A11" s="13"/>
      <c r="B11" s="13" t="s">
        <v>20</v>
      </c>
      <c r="C11" s="13" t="s">
        <v>4</v>
      </c>
      <c r="D11" s="10" t="s">
        <v>5</v>
      </c>
      <c r="E11" s="13" t="s">
        <v>6</v>
      </c>
      <c r="F11" s="13" t="s">
        <v>27</v>
      </c>
      <c r="G11" s="75" t="s">
        <v>28</v>
      </c>
      <c r="H11" s="74" t="s">
        <v>29</v>
      </c>
      <c r="I11" s="68" t="s">
        <v>30</v>
      </c>
      <c r="J11" s="68" t="s">
        <v>31</v>
      </c>
      <c r="K11" s="68" t="s">
        <v>32</v>
      </c>
      <c r="L11" s="68" t="s">
        <v>33</v>
      </c>
      <c r="M11" s="68" t="s">
        <v>34</v>
      </c>
      <c r="N11" s="34" t="s">
        <v>35</v>
      </c>
      <c r="O11" s="13" t="s">
        <v>17</v>
      </c>
      <c r="P11" s="10" t="s">
        <v>16</v>
      </c>
      <c r="Q11" s="10" t="s">
        <v>18</v>
      </c>
    </row>
    <row r="12" spans="1:17" s="22" customFormat="1" ht="22.95" customHeight="1" x14ac:dyDescent="0.25">
      <c r="A12" s="21">
        <f>1+A11</f>
        <v>1</v>
      </c>
      <c r="B12" s="21" t="s">
        <v>100</v>
      </c>
      <c r="C12" s="21" t="s">
        <v>101</v>
      </c>
      <c r="D12" s="21"/>
      <c r="E12" s="21" t="s">
        <v>38</v>
      </c>
      <c r="F12" s="21"/>
      <c r="G12" s="69" t="s">
        <v>102</v>
      </c>
      <c r="H12" s="69" t="s">
        <v>103</v>
      </c>
      <c r="I12" s="69">
        <v>5</v>
      </c>
      <c r="J12" s="69">
        <v>6</v>
      </c>
      <c r="K12" s="69">
        <v>7</v>
      </c>
      <c r="L12" s="69">
        <v>7</v>
      </c>
      <c r="M12" s="69">
        <v>6</v>
      </c>
      <c r="N12" s="21"/>
      <c r="O12" s="21" t="s">
        <v>104</v>
      </c>
      <c r="P12" s="21">
        <v>748827634</v>
      </c>
      <c r="Q12" s="21">
        <v>772442921</v>
      </c>
    </row>
    <row r="13" spans="1:17" s="22" customFormat="1" ht="22.95" customHeight="1" x14ac:dyDescent="0.25">
      <c r="A13" s="21">
        <f t="shared" ref="A13:A21" si="0">1+A12</f>
        <v>2</v>
      </c>
      <c r="B13" s="21" t="s">
        <v>162</v>
      </c>
      <c r="C13" s="21" t="s">
        <v>163</v>
      </c>
      <c r="D13" s="21" t="s">
        <v>164</v>
      </c>
      <c r="E13" s="21" t="s">
        <v>38</v>
      </c>
      <c r="F13" s="21"/>
      <c r="G13" s="47">
        <v>39061</v>
      </c>
      <c r="H13" s="69" t="s">
        <v>165</v>
      </c>
      <c r="I13" s="69" t="s">
        <v>55</v>
      </c>
      <c r="J13" s="69" t="s">
        <v>55</v>
      </c>
      <c r="K13" s="69" t="s">
        <v>55</v>
      </c>
      <c r="L13" s="69" t="s">
        <v>55</v>
      </c>
      <c r="M13" s="69" t="s">
        <v>55</v>
      </c>
      <c r="N13" s="21"/>
      <c r="O13" s="21" t="s">
        <v>41</v>
      </c>
      <c r="P13" s="21">
        <v>753844426</v>
      </c>
      <c r="Q13" s="21">
        <v>746807267</v>
      </c>
    </row>
    <row r="14" spans="1:17" s="22" customFormat="1" ht="22.95" customHeight="1" x14ac:dyDescent="0.25">
      <c r="A14" s="21">
        <f t="shared" si="0"/>
        <v>3</v>
      </c>
      <c r="B14" s="21" t="s">
        <v>81</v>
      </c>
      <c r="C14" s="21" t="s">
        <v>82</v>
      </c>
      <c r="D14" s="21"/>
      <c r="E14" s="21" t="s">
        <v>38</v>
      </c>
      <c r="F14" s="21"/>
      <c r="G14" s="69" t="s">
        <v>83</v>
      </c>
      <c r="H14" s="69" t="s">
        <v>84</v>
      </c>
      <c r="I14" s="69" t="s">
        <v>54</v>
      </c>
      <c r="J14" s="69" t="s">
        <v>55</v>
      </c>
      <c r="K14" s="69" t="s">
        <v>54</v>
      </c>
      <c r="L14" s="69" t="s">
        <v>55</v>
      </c>
      <c r="M14" s="69" t="s">
        <v>55</v>
      </c>
      <c r="N14" s="21"/>
      <c r="O14" s="21" t="s">
        <v>85</v>
      </c>
      <c r="P14" s="21">
        <v>743484403</v>
      </c>
      <c r="Q14" s="21">
        <v>701396940</v>
      </c>
    </row>
    <row r="15" spans="1:17" s="22" customFormat="1" ht="22.95" customHeight="1" x14ac:dyDescent="0.25">
      <c r="A15" s="21">
        <f t="shared" si="0"/>
        <v>4</v>
      </c>
      <c r="B15" s="21" t="s">
        <v>139</v>
      </c>
      <c r="C15" s="21" t="s">
        <v>311</v>
      </c>
      <c r="D15" s="21"/>
      <c r="E15" s="21" t="s">
        <v>38</v>
      </c>
      <c r="F15" s="21"/>
      <c r="G15" s="47">
        <v>39334</v>
      </c>
      <c r="H15" s="69" t="s">
        <v>333</v>
      </c>
      <c r="I15" s="69" t="s">
        <v>55</v>
      </c>
      <c r="J15" s="69" t="s">
        <v>55</v>
      </c>
      <c r="K15" s="69" t="s">
        <v>55</v>
      </c>
      <c r="L15" s="69" t="s">
        <v>54</v>
      </c>
      <c r="M15" s="69" t="s">
        <v>55</v>
      </c>
      <c r="N15" s="21"/>
      <c r="O15" s="21" t="s">
        <v>334</v>
      </c>
      <c r="P15" s="21">
        <v>766435246</v>
      </c>
      <c r="Q15" s="21">
        <v>757823267</v>
      </c>
    </row>
    <row r="16" spans="1:17" s="22" customFormat="1" ht="22.95" customHeight="1" x14ac:dyDescent="0.25">
      <c r="A16" s="21">
        <f t="shared" si="0"/>
        <v>5</v>
      </c>
      <c r="B16" s="21" t="s">
        <v>149</v>
      </c>
      <c r="C16" s="21" t="s">
        <v>150</v>
      </c>
      <c r="D16" s="21" t="s">
        <v>151</v>
      </c>
      <c r="E16" s="21" t="s">
        <v>38</v>
      </c>
      <c r="F16" s="21"/>
      <c r="G16" s="47">
        <v>38931</v>
      </c>
      <c r="H16" s="69" t="s">
        <v>157</v>
      </c>
      <c r="I16" s="69" t="s">
        <v>55</v>
      </c>
      <c r="J16" s="69" t="s">
        <v>55</v>
      </c>
      <c r="K16" s="69" t="s">
        <v>55</v>
      </c>
      <c r="L16" s="69" t="s">
        <v>54</v>
      </c>
      <c r="M16" s="69" t="s">
        <v>55</v>
      </c>
      <c r="N16" s="21"/>
      <c r="O16" s="21" t="s">
        <v>152</v>
      </c>
      <c r="P16" s="21">
        <v>744150540</v>
      </c>
      <c r="Q16" s="21" t="s">
        <v>153</v>
      </c>
    </row>
    <row r="17" spans="1:18" s="22" customFormat="1" ht="22.95" customHeight="1" x14ac:dyDescent="0.25">
      <c r="A17" s="21">
        <f t="shared" si="0"/>
        <v>6</v>
      </c>
      <c r="B17" s="21" t="s">
        <v>184</v>
      </c>
      <c r="C17" s="21" t="s">
        <v>185</v>
      </c>
      <c r="D17" s="21"/>
      <c r="E17" s="21" t="s">
        <v>38</v>
      </c>
      <c r="F17" s="21"/>
      <c r="G17" s="69" t="s">
        <v>309</v>
      </c>
      <c r="H17" s="69" t="s">
        <v>310</v>
      </c>
      <c r="I17" s="69" t="s">
        <v>54</v>
      </c>
      <c r="J17" s="69" t="s">
        <v>55</v>
      </c>
      <c r="K17" s="69" t="s">
        <v>55</v>
      </c>
      <c r="L17" s="69" t="s">
        <v>55</v>
      </c>
      <c r="M17" s="69" t="s">
        <v>55</v>
      </c>
      <c r="N17" s="21"/>
      <c r="O17" s="21" t="s">
        <v>85</v>
      </c>
      <c r="P17" s="37">
        <v>741129714</v>
      </c>
      <c r="Q17" s="21">
        <v>709953447</v>
      </c>
      <c r="R17" s="21"/>
    </row>
    <row r="18" spans="1:18" s="22" customFormat="1" ht="22.95" customHeight="1" x14ac:dyDescent="0.25">
      <c r="A18" s="21">
        <f t="shared" si="0"/>
        <v>7</v>
      </c>
      <c r="B18" s="21" t="s">
        <v>213</v>
      </c>
      <c r="C18" s="21" t="s">
        <v>214</v>
      </c>
      <c r="D18" s="21"/>
      <c r="E18" s="21" t="s">
        <v>38</v>
      </c>
      <c r="F18" s="21"/>
      <c r="G18" s="47">
        <v>37348</v>
      </c>
      <c r="H18" s="69" t="s">
        <v>215</v>
      </c>
      <c r="I18" s="69">
        <v>6</v>
      </c>
      <c r="J18" s="69">
        <v>4</v>
      </c>
      <c r="K18" s="69">
        <v>6</v>
      </c>
      <c r="L18" s="69">
        <v>7</v>
      </c>
      <c r="M18" s="69">
        <v>7</v>
      </c>
      <c r="N18" s="21"/>
      <c r="O18" s="21" t="s">
        <v>129</v>
      </c>
      <c r="P18" s="21">
        <v>764264984</v>
      </c>
      <c r="Q18" s="21">
        <v>775848081</v>
      </c>
    </row>
    <row r="19" spans="1:18" s="22" customFormat="1" ht="22.95" customHeight="1" x14ac:dyDescent="0.25">
      <c r="A19" s="21">
        <f t="shared" si="0"/>
        <v>8</v>
      </c>
      <c r="B19" s="21" t="s">
        <v>75</v>
      </c>
      <c r="C19" s="21" t="s">
        <v>76</v>
      </c>
      <c r="D19" s="21" t="s">
        <v>77</v>
      </c>
      <c r="E19" s="21" t="s">
        <v>38</v>
      </c>
      <c r="F19" s="21"/>
      <c r="G19" s="47">
        <v>38785</v>
      </c>
      <c r="H19" s="69" t="s">
        <v>78</v>
      </c>
      <c r="I19" s="69" t="s">
        <v>79</v>
      </c>
      <c r="J19" s="69" t="s">
        <v>54</v>
      </c>
      <c r="K19" s="69" t="s">
        <v>79</v>
      </c>
      <c r="L19" s="69" t="s">
        <v>54</v>
      </c>
      <c r="M19" s="69" t="s">
        <v>54</v>
      </c>
      <c r="N19" s="21"/>
      <c r="O19" s="21" t="s">
        <v>80</v>
      </c>
      <c r="P19" s="21">
        <v>746557024</v>
      </c>
      <c r="Q19" s="21">
        <v>706244441</v>
      </c>
      <c r="R19" s="37">
        <v>752176409</v>
      </c>
    </row>
    <row r="20" spans="1:18" s="22" customFormat="1" ht="22.95" customHeight="1" x14ac:dyDescent="0.25">
      <c r="A20" s="21">
        <f t="shared" si="0"/>
        <v>9</v>
      </c>
      <c r="B20" s="21" t="s">
        <v>329</v>
      </c>
      <c r="C20" s="21" t="s">
        <v>330</v>
      </c>
      <c r="D20" s="21" t="s">
        <v>331</v>
      </c>
      <c r="E20" s="21" t="s">
        <v>38</v>
      </c>
      <c r="F20" s="21"/>
      <c r="G20" s="47">
        <v>39182</v>
      </c>
      <c r="H20" s="69" t="s">
        <v>332</v>
      </c>
      <c r="I20" s="69" t="s">
        <v>54</v>
      </c>
      <c r="J20" s="69" t="s">
        <v>55</v>
      </c>
      <c r="K20" s="69" t="s">
        <v>55</v>
      </c>
      <c r="L20" s="69" t="s">
        <v>55</v>
      </c>
      <c r="M20" s="69" t="s">
        <v>55</v>
      </c>
      <c r="N20" s="21"/>
      <c r="O20" s="21" t="s">
        <v>220</v>
      </c>
      <c r="P20" s="21"/>
      <c r="Q20" s="21"/>
    </row>
    <row r="21" spans="1:18" ht="22.95" customHeight="1" x14ac:dyDescent="0.3">
      <c r="A21" s="21">
        <f t="shared" si="0"/>
        <v>10</v>
      </c>
      <c r="B21" s="21" t="s">
        <v>342</v>
      </c>
      <c r="C21" s="21" t="s">
        <v>343</v>
      </c>
      <c r="D21" s="21"/>
      <c r="E21" s="21" t="s">
        <v>38</v>
      </c>
      <c r="F21" s="21"/>
      <c r="G21" s="47">
        <v>38845</v>
      </c>
      <c r="H21" s="69" t="s">
        <v>344</v>
      </c>
      <c r="I21" s="69" t="s">
        <v>55</v>
      </c>
      <c r="J21" s="69" t="s">
        <v>54</v>
      </c>
      <c r="K21" s="69" t="s">
        <v>55</v>
      </c>
      <c r="L21" s="69" t="s">
        <v>79</v>
      </c>
      <c r="M21" s="69" t="s">
        <v>54</v>
      </c>
      <c r="N21" s="48"/>
      <c r="O21" s="21" t="s">
        <v>41</v>
      </c>
      <c r="P21" s="21">
        <v>702574942</v>
      </c>
      <c r="Q21" s="24" t="s">
        <v>345</v>
      </c>
    </row>
    <row r="22" spans="1:18" ht="22.95" customHeight="1" x14ac:dyDescent="0.3">
      <c r="A22" s="88" t="s">
        <v>346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41"/>
      <c r="Q22" s="41"/>
    </row>
    <row r="23" spans="1:18" ht="22.95" customHeight="1" x14ac:dyDescent="0.3">
      <c r="A23" s="63"/>
      <c r="B23" s="41"/>
      <c r="C23" s="40"/>
      <c r="D23" s="40"/>
      <c r="E23" s="40"/>
      <c r="F23" s="40"/>
      <c r="G23" s="70"/>
      <c r="H23" s="70"/>
      <c r="I23" s="88" t="s">
        <v>347</v>
      </c>
      <c r="J23" s="88"/>
      <c r="K23" s="88"/>
      <c r="L23" s="88"/>
      <c r="M23" s="88"/>
      <c r="N23" s="88"/>
      <c r="O23" s="88"/>
      <c r="P23" s="41"/>
      <c r="Q23" s="41"/>
    </row>
    <row r="24" spans="1:18" ht="25.05" customHeight="1" x14ac:dyDescent="0.3">
      <c r="A24" s="63"/>
      <c r="B24" s="63"/>
      <c r="C24" s="63"/>
      <c r="D24" s="63"/>
      <c r="E24" s="63"/>
      <c r="F24" s="63"/>
      <c r="G24" s="72"/>
      <c r="H24" s="72"/>
      <c r="I24" s="72"/>
      <c r="J24" s="72"/>
      <c r="K24" s="72"/>
      <c r="L24" s="72"/>
      <c r="M24" s="72"/>
      <c r="N24" s="63"/>
      <c r="O24" s="63"/>
      <c r="P24" s="63"/>
      <c r="Q24" s="63"/>
    </row>
    <row r="25" spans="1:18" ht="25.05" customHeight="1" x14ac:dyDescent="0.3">
      <c r="A25" s="63"/>
      <c r="B25" s="63"/>
      <c r="C25" s="63"/>
      <c r="D25" s="63"/>
      <c r="E25" s="63"/>
      <c r="F25" s="63"/>
      <c r="G25" s="72"/>
      <c r="H25" s="72"/>
      <c r="I25" s="72"/>
      <c r="J25" s="72"/>
      <c r="K25" s="72"/>
      <c r="L25" s="72"/>
      <c r="M25" s="72"/>
      <c r="N25" s="63"/>
      <c r="O25" s="63"/>
      <c r="P25" s="63"/>
      <c r="Q25" s="63"/>
    </row>
  </sheetData>
  <sortState ref="A12:R23">
    <sortCondition ref="B14"/>
  </sortState>
  <mergeCells count="7">
    <mergeCell ref="I23:O23"/>
    <mergeCell ref="B10:H10"/>
    <mergeCell ref="C4:F4"/>
    <mergeCell ref="C5:H5"/>
    <mergeCell ref="C6:I6"/>
    <mergeCell ref="B9:N9"/>
    <mergeCell ref="A22:O2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C6" sqref="C6"/>
    </sheetView>
  </sheetViews>
  <sheetFormatPr defaultRowHeight="14.4" x14ac:dyDescent="0.3"/>
  <cols>
    <col min="1" max="1" width="4.6640625" customWidth="1"/>
    <col min="2" max="2" width="20" customWidth="1"/>
    <col min="3" max="3" width="14.77734375" customWidth="1"/>
    <col min="4" max="4" width="14.21875" customWidth="1"/>
    <col min="5" max="5" width="5.77734375" customWidth="1"/>
    <col min="6" max="6" width="16.5546875" customWidth="1"/>
    <col min="7" max="7" width="22.5546875" customWidth="1"/>
    <col min="8" max="8" width="17.109375" customWidth="1"/>
    <col min="9" max="9" width="14.33203125" customWidth="1"/>
    <col min="10" max="10" width="13.6640625" customWidth="1"/>
  </cols>
  <sheetData>
    <row r="1" spans="1:10" ht="22.8" x14ac:dyDescent="0.4">
      <c r="A1" s="98" t="s">
        <v>62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22.8" x14ac:dyDescent="0.4">
      <c r="A2" s="99" t="s">
        <v>58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ht="22.8" x14ac:dyDescent="0.4">
      <c r="A3" s="99" t="s">
        <v>60</v>
      </c>
      <c r="B3" s="99"/>
      <c r="C3" s="99"/>
      <c r="D3" s="99"/>
      <c r="E3" s="99"/>
      <c r="F3" s="99"/>
      <c r="G3" s="99"/>
      <c r="H3" s="99"/>
      <c r="I3" s="99"/>
      <c r="J3" s="99"/>
    </row>
    <row r="4" spans="1:10" ht="22.8" x14ac:dyDescent="0.4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ht="46.8" x14ac:dyDescent="0.3">
      <c r="A5" s="13"/>
      <c r="B5" s="13" t="s">
        <v>20</v>
      </c>
      <c r="C5" s="13" t="s">
        <v>4</v>
      </c>
      <c r="D5" s="10" t="s">
        <v>5</v>
      </c>
      <c r="E5" s="13" t="s">
        <v>6</v>
      </c>
      <c r="F5" s="13" t="s">
        <v>63</v>
      </c>
      <c r="G5" s="10" t="s">
        <v>16</v>
      </c>
      <c r="H5" s="13" t="s">
        <v>17</v>
      </c>
      <c r="I5" s="13" t="s">
        <v>61</v>
      </c>
      <c r="J5" s="10" t="s">
        <v>59</v>
      </c>
    </row>
    <row r="6" spans="1:10" ht="30" customHeight="1" x14ac:dyDescent="0.3">
      <c r="A6" s="11">
        <f>1+A5</f>
        <v>1</v>
      </c>
      <c r="B6" s="11" t="s">
        <v>87</v>
      </c>
      <c r="C6" s="11"/>
      <c r="D6" s="11"/>
      <c r="E6" s="11"/>
      <c r="F6" s="11"/>
      <c r="G6" s="11"/>
      <c r="H6" s="11"/>
      <c r="I6" s="11"/>
      <c r="J6" s="11"/>
    </row>
    <row r="7" spans="1:10" ht="30" customHeight="1" x14ac:dyDescent="0.3">
      <c r="A7" s="11">
        <f t="shared" ref="A7:A16" si="0">1+A6</f>
        <v>2</v>
      </c>
      <c r="B7" s="11"/>
      <c r="C7" s="11"/>
      <c r="D7" s="11"/>
      <c r="E7" s="11"/>
      <c r="F7" s="11"/>
      <c r="G7" s="11"/>
      <c r="H7" s="11"/>
      <c r="I7" s="11"/>
      <c r="J7" s="11"/>
    </row>
    <row r="8" spans="1:10" ht="30" customHeight="1" x14ac:dyDescent="0.3">
      <c r="A8" s="11">
        <f t="shared" si="0"/>
        <v>3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ht="30" customHeight="1" x14ac:dyDescent="0.3">
      <c r="A9" s="11">
        <f t="shared" si="0"/>
        <v>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t="30" customHeight="1" x14ac:dyDescent="0.3">
      <c r="A10" s="11">
        <f t="shared" si="0"/>
        <v>5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30" customHeight="1" x14ac:dyDescent="0.3">
      <c r="A11" s="11">
        <f t="shared" si="0"/>
        <v>6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30" customHeight="1" x14ac:dyDescent="0.3">
      <c r="A12" s="11">
        <f t="shared" si="0"/>
        <v>7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30" customHeight="1" x14ac:dyDescent="0.3">
      <c r="A13" s="11">
        <f t="shared" si="0"/>
        <v>8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30" customHeight="1" x14ac:dyDescent="0.3">
      <c r="A14" s="11">
        <f t="shared" si="0"/>
        <v>9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30" customHeight="1" x14ac:dyDescent="0.3">
      <c r="A15" s="11">
        <f t="shared" si="0"/>
        <v>10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30" customHeight="1" x14ac:dyDescent="0.3">
      <c r="A16" s="11">
        <f t="shared" si="0"/>
        <v>11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30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30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30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30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30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30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30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30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30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30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30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30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30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3">
    <mergeCell ref="A1:J1"/>
    <mergeCell ref="A2:J2"/>
    <mergeCell ref="A3:J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Normal="100" workbookViewId="0">
      <selection activeCell="M5" sqref="M5"/>
    </sheetView>
  </sheetViews>
  <sheetFormatPr defaultRowHeight="14.4" x14ac:dyDescent="0.3"/>
  <cols>
    <col min="1" max="1" width="3.21875" customWidth="1"/>
    <col min="2" max="2" width="13" customWidth="1"/>
    <col min="3" max="3" width="11.21875" customWidth="1"/>
    <col min="4" max="4" width="9.21875" customWidth="1"/>
    <col min="5" max="5" width="3.6640625" customWidth="1"/>
    <col min="6" max="6" width="8.5546875" customWidth="1"/>
    <col min="7" max="7" width="18.77734375" customWidth="1"/>
    <col min="8" max="8" width="11.21875" customWidth="1"/>
    <col min="9" max="9" width="10.33203125" customWidth="1"/>
    <col min="10" max="10" width="9.44140625" style="66" customWidth="1"/>
    <col min="11" max="11" width="22.77734375" customWidth="1"/>
  </cols>
  <sheetData>
    <row r="1" spans="1:11" ht="15.6" x14ac:dyDescent="0.3">
      <c r="B1" s="91" t="s">
        <v>368</v>
      </c>
      <c r="C1" s="91"/>
      <c r="D1" s="91"/>
      <c r="E1" s="91"/>
      <c r="F1" s="91"/>
      <c r="G1" s="91"/>
      <c r="H1" s="91"/>
    </row>
    <row r="2" spans="1:11" ht="15.6" x14ac:dyDescent="0.3">
      <c r="B2" s="91" t="s">
        <v>369</v>
      </c>
      <c r="C2" s="91"/>
      <c r="D2" s="91"/>
      <c r="E2" s="91"/>
      <c r="F2" s="91"/>
      <c r="G2" s="91"/>
      <c r="H2" s="80"/>
    </row>
    <row r="3" spans="1:11" ht="15.6" x14ac:dyDescent="0.3">
      <c r="B3" s="80"/>
      <c r="C3" s="80"/>
      <c r="D3" s="80"/>
      <c r="E3" s="80"/>
      <c r="F3" s="80"/>
      <c r="G3" s="80"/>
      <c r="H3" s="80"/>
    </row>
    <row r="4" spans="1:11" ht="17.399999999999999" x14ac:dyDescent="0.3">
      <c r="B4" s="100" t="s">
        <v>370</v>
      </c>
      <c r="C4" s="100"/>
      <c r="D4" s="100"/>
      <c r="E4" s="100"/>
      <c r="F4" s="100"/>
      <c r="G4" s="100"/>
      <c r="H4" s="80"/>
    </row>
    <row r="6" spans="1:11" ht="55.8" x14ac:dyDescent="0.3">
      <c r="A6" s="2"/>
      <c r="B6" s="2" t="s">
        <v>20</v>
      </c>
      <c r="C6" s="35" t="s">
        <v>4</v>
      </c>
      <c r="D6" s="4" t="s">
        <v>5</v>
      </c>
      <c r="E6" s="5" t="s">
        <v>6</v>
      </c>
      <c r="F6" s="6" t="s">
        <v>7</v>
      </c>
      <c r="G6" s="8" t="s">
        <v>9</v>
      </c>
      <c r="H6" s="9" t="s">
        <v>28</v>
      </c>
      <c r="I6" s="36" t="s">
        <v>16</v>
      </c>
      <c r="J6" s="74" t="s">
        <v>17</v>
      </c>
      <c r="K6" s="32" t="s">
        <v>366</v>
      </c>
    </row>
    <row r="7" spans="1:11" ht="30" customHeight="1" x14ac:dyDescent="0.3">
      <c r="A7" s="21">
        <f t="shared" ref="A7:A22" si="0">1+A6</f>
        <v>1</v>
      </c>
      <c r="B7" s="21" t="s">
        <v>191</v>
      </c>
      <c r="C7" s="31" t="s">
        <v>192</v>
      </c>
      <c r="D7" s="21"/>
      <c r="E7" s="21" t="s">
        <v>46</v>
      </c>
      <c r="F7" s="82" t="s">
        <v>193</v>
      </c>
      <c r="G7" s="31" t="s">
        <v>194</v>
      </c>
      <c r="H7" s="21"/>
      <c r="I7" s="21">
        <v>788616628</v>
      </c>
      <c r="J7" s="83"/>
      <c r="K7" s="11"/>
    </row>
    <row r="8" spans="1:11" ht="30" customHeight="1" x14ac:dyDescent="0.3">
      <c r="A8" s="21">
        <f t="shared" si="0"/>
        <v>2</v>
      </c>
      <c r="B8" s="21" t="s">
        <v>43</v>
      </c>
      <c r="C8" s="21" t="s">
        <v>44</v>
      </c>
      <c r="D8" s="31" t="s">
        <v>45</v>
      </c>
      <c r="E8" s="21" t="s">
        <v>46</v>
      </c>
      <c r="F8" s="82" t="s">
        <v>47</v>
      </c>
      <c r="G8" s="31" t="s">
        <v>48</v>
      </c>
      <c r="H8" s="21"/>
      <c r="I8" s="21">
        <v>766118163</v>
      </c>
      <c r="J8" s="83" t="s">
        <v>49</v>
      </c>
      <c r="K8" s="11"/>
    </row>
    <row r="9" spans="1:11" ht="30" customHeight="1" x14ac:dyDescent="0.3">
      <c r="A9" s="21">
        <f t="shared" si="0"/>
        <v>3</v>
      </c>
      <c r="B9" s="21" t="s">
        <v>68</v>
      </c>
      <c r="C9" s="21" t="s">
        <v>69</v>
      </c>
      <c r="D9" s="31"/>
      <c r="E9" s="21" t="s">
        <v>46</v>
      </c>
      <c r="F9" s="82" t="s">
        <v>349</v>
      </c>
      <c r="G9" s="31" t="s">
        <v>70</v>
      </c>
      <c r="H9" s="21"/>
      <c r="I9" s="21">
        <v>700120378</v>
      </c>
      <c r="J9" s="83" t="s">
        <v>41</v>
      </c>
      <c r="K9" s="11"/>
    </row>
    <row r="10" spans="1:11" ht="30" customHeight="1" x14ac:dyDescent="0.3">
      <c r="A10" s="21">
        <f t="shared" si="0"/>
        <v>4</v>
      </c>
      <c r="B10" s="21" t="s">
        <v>281</v>
      </c>
      <c r="C10" s="21" t="s">
        <v>282</v>
      </c>
      <c r="D10" s="31" t="s">
        <v>283</v>
      </c>
      <c r="E10" s="21" t="s">
        <v>46</v>
      </c>
      <c r="F10" s="82" t="s">
        <v>284</v>
      </c>
      <c r="G10" s="31" t="s">
        <v>285</v>
      </c>
      <c r="H10" s="21"/>
      <c r="I10" s="21">
        <v>700850858</v>
      </c>
      <c r="J10" s="83" t="s">
        <v>220</v>
      </c>
      <c r="K10" s="11"/>
    </row>
    <row r="11" spans="1:11" ht="30" customHeight="1" x14ac:dyDescent="0.3">
      <c r="A11" s="21">
        <f t="shared" si="0"/>
        <v>5</v>
      </c>
      <c r="B11" s="21" t="s">
        <v>229</v>
      </c>
      <c r="C11" s="21" t="s">
        <v>230</v>
      </c>
      <c r="D11" s="31" t="s">
        <v>231</v>
      </c>
      <c r="E11" s="21" t="s">
        <v>46</v>
      </c>
      <c r="F11" s="82" t="s">
        <v>232</v>
      </c>
      <c r="G11" s="31" t="s">
        <v>233</v>
      </c>
      <c r="H11" s="21"/>
      <c r="I11" s="21">
        <v>773521623</v>
      </c>
      <c r="J11" s="83" t="s">
        <v>85</v>
      </c>
      <c r="K11" s="11"/>
    </row>
    <row r="12" spans="1:11" ht="30" customHeight="1" x14ac:dyDescent="0.3">
      <c r="A12" s="21">
        <f>1+A11</f>
        <v>6</v>
      </c>
      <c r="B12" s="21" t="s">
        <v>169</v>
      </c>
      <c r="C12" s="21" t="s">
        <v>170</v>
      </c>
      <c r="D12" s="31" t="s">
        <v>171</v>
      </c>
      <c r="E12" s="21" t="s">
        <v>46</v>
      </c>
      <c r="F12" s="82" t="s">
        <v>172</v>
      </c>
      <c r="G12" s="31" t="s">
        <v>173</v>
      </c>
      <c r="H12" s="21"/>
      <c r="I12" s="21">
        <v>755962345</v>
      </c>
      <c r="J12" s="83" t="s">
        <v>80</v>
      </c>
      <c r="K12" s="11"/>
    </row>
    <row r="13" spans="1:11" ht="30" customHeight="1" x14ac:dyDescent="0.3">
      <c r="A13" s="21">
        <f t="shared" si="0"/>
        <v>7</v>
      </c>
      <c r="B13" s="21" t="s">
        <v>110</v>
      </c>
      <c r="C13" s="21" t="s">
        <v>111</v>
      </c>
      <c r="D13" s="31"/>
      <c r="E13" s="21" t="s">
        <v>38</v>
      </c>
      <c r="F13" s="82" t="s">
        <v>350</v>
      </c>
      <c r="G13" s="31" t="s">
        <v>112</v>
      </c>
      <c r="H13" s="21"/>
      <c r="I13" s="21">
        <v>747426917</v>
      </c>
      <c r="J13" s="83" t="s">
        <v>56</v>
      </c>
      <c r="K13" s="11"/>
    </row>
    <row r="14" spans="1:11" ht="30" customHeight="1" x14ac:dyDescent="0.3">
      <c r="A14" s="21">
        <f t="shared" si="0"/>
        <v>8</v>
      </c>
      <c r="B14" s="21" t="s">
        <v>139</v>
      </c>
      <c r="C14" s="21" t="s">
        <v>106</v>
      </c>
      <c r="D14" s="31"/>
      <c r="E14" s="21" t="s">
        <v>38</v>
      </c>
      <c r="F14" s="82" t="s">
        <v>140</v>
      </c>
      <c r="G14" s="31" t="s">
        <v>141</v>
      </c>
      <c r="H14" s="21"/>
      <c r="I14" s="21">
        <v>780373956</v>
      </c>
      <c r="J14" s="83" t="s">
        <v>85</v>
      </c>
      <c r="K14" s="11"/>
    </row>
    <row r="15" spans="1:11" ht="30" customHeight="1" x14ac:dyDescent="0.3">
      <c r="A15" s="21">
        <f t="shared" si="0"/>
        <v>9</v>
      </c>
      <c r="B15" s="21" t="s">
        <v>221</v>
      </c>
      <c r="C15" s="21" t="s">
        <v>222</v>
      </c>
      <c r="D15" s="31"/>
      <c r="E15" s="21" t="s">
        <v>38</v>
      </c>
      <c r="F15" s="82" t="s">
        <v>223</v>
      </c>
      <c r="G15" s="31" t="s">
        <v>224</v>
      </c>
      <c r="H15" s="21"/>
      <c r="I15" s="21">
        <v>703933426</v>
      </c>
      <c r="J15" s="83"/>
      <c r="K15" s="11"/>
    </row>
    <row r="16" spans="1:11" ht="30" customHeight="1" x14ac:dyDescent="0.3">
      <c r="A16" s="21">
        <f t="shared" si="0"/>
        <v>10</v>
      </c>
      <c r="B16" s="31" t="s">
        <v>130</v>
      </c>
      <c r="C16" s="21" t="s">
        <v>131</v>
      </c>
      <c r="D16" s="31"/>
      <c r="E16" s="21" t="s">
        <v>38</v>
      </c>
      <c r="F16" s="82" t="s">
        <v>132</v>
      </c>
      <c r="G16" s="31" t="s">
        <v>133</v>
      </c>
      <c r="H16" s="21"/>
      <c r="I16" s="21">
        <v>750096877</v>
      </c>
      <c r="J16" s="83" t="s">
        <v>41</v>
      </c>
      <c r="K16" s="11"/>
    </row>
    <row r="17" spans="1:11" ht="30" customHeight="1" x14ac:dyDescent="0.3">
      <c r="A17" s="21">
        <f t="shared" si="0"/>
        <v>11</v>
      </c>
      <c r="B17" s="21" t="s">
        <v>199</v>
      </c>
      <c r="C17" s="21" t="s">
        <v>182</v>
      </c>
      <c r="D17" s="31" t="s">
        <v>200</v>
      </c>
      <c r="E17" s="21" t="s">
        <v>46</v>
      </c>
      <c r="F17" s="82" t="s">
        <v>351</v>
      </c>
      <c r="G17" s="31" t="s">
        <v>201</v>
      </c>
      <c r="H17" s="21"/>
      <c r="I17" s="21">
        <v>781930684</v>
      </c>
      <c r="J17" s="83"/>
      <c r="K17" s="11"/>
    </row>
    <row r="18" spans="1:11" ht="30" customHeight="1" x14ac:dyDescent="0.3">
      <c r="A18" s="21">
        <f t="shared" si="0"/>
        <v>12</v>
      </c>
      <c r="B18" s="21" t="s">
        <v>266</v>
      </c>
      <c r="C18" s="21" t="s">
        <v>267</v>
      </c>
      <c r="D18" s="31" t="s">
        <v>268</v>
      </c>
      <c r="E18" s="21" t="s">
        <v>46</v>
      </c>
      <c r="F18" s="82" t="s">
        <v>269</v>
      </c>
      <c r="G18" s="31" t="s">
        <v>270</v>
      </c>
      <c r="H18" s="21"/>
      <c r="I18" s="21">
        <v>781542725</v>
      </c>
      <c r="J18" s="83" t="s">
        <v>253</v>
      </c>
      <c r="K18" s="11"/>
    </row>
    <row r="19" spans="1:11" ht="30" customHeight="1" x14ac:dyDescent="0.3">
      <c r="A19" s="21">
        <f t="shared" si="0"/>
        <v>13</v>
      </c>
      <c r="B19" s="21" t="s">
        <v>125</v>
      </c>
      <c r="C19" s="21" t="s">
        <v>126</v>
      </c>
      <c r="D19" s="31"/>
      <c r="E19" s="21" t="s">
        <v>38</v>
      </c>
      <c r="F19" s="82" t="s">
        <v>127</v>
      </c>
      <c r="G19" s="31" t="s">
        <v>128</v>
      </c>
      <c r="H19" s="21"/>
      <c r="I19" s="21">
        <v>769265057</v>
      </c>
      <c r="J19" s="83" t="s">
        <v>129</v>
      </c>
      <c r="K19" s="11"/>
    </row>
    <row r="20" spans="1:11" ht="30" customHeight="1" x14ac:dyDescent="0.3">
      <c r="A20" s="21">
        <f t="shared" si="0"/>
        <v>14</v>
      </c>
      <c r="B20" s="21" t="s">
        <v>352</v>
      </c>
      <c r="C20" s="21" t="s">
        <v>353</v>
      </c>
      <c r="D20" s="21"/>
      <c r="E20" s="21" t="s">
        <v>46</v>
      </c>
      <c r="F20" s="82" t="s">
        <v>357</v>
      </c>
      <c r="G20" s="31" t="s">
        <v>358</v>
      </c>
      <c r="H20" s="21"/>
      <c r="I20" s="21">
        <v>755607163</v>
      </c>
      <c r="J20" s="83" t="s">
        <v>364</v>
      </c>
      <c r="K20" s="11"/>
    </row>
    <row r="21" spans="1:11" ht="30" customHeight="1" x14ac:dyDescent="0.3">
      <c r="A21" s="21">
        <f t="shared" si="0"/>
        <v>15</v>
      </c>
      <c r="B21" s="21" t="s">
        <v>354</v>
      </c>
      <c r="C21" s="21" t="s">
        <v>361</v>
      </c>
      <c r="D21" s="21"/>
      <c r="E21" s="21" t="s">
        <v>38</v>
      </c>
      <c r="F21" s="82" t="s">
        <v>362</v>
      </c>
      <c r="G21" s="31" t="s">
        <v>363</v>
      </c>
      <c r="H21" s="21"/>
      <c r="I21" s="21"/>
      <c r="J21" s="83" t="s">
        <v>293</v>
      </c>
      <c r="K21" s="11"/>
    </row>
    <row r="22" spans="1:11" ht="30" customHeight="1" x14ac:dyDescent="0.3">
      <c r="A22" s="21">
        <f t="shared" si="0"/>
        <v>16</v>
      </c>
      <c r="B22" s="82" t="s">
        <v>355</v>
      </c>
      <c r="C22" s="21" t="s">
        <v>356</v>
      </c>
      <c r="D22" s="21"/>
      <c r="E22" s="21" t="s">
        <v>46</v>
      </c>
      <c r="F22" s="82" t="s">
        <v>359</v>
      </c>
      <c r="G22" s="31" t="s">
        <v>360</v>
      </c>
      <c r="H22" s="21"/>
      <c r="I22" s="21">
        <v>773529295</v>
      </c>
      <c r="J22" s="83" t="s">
        <v>365</v>
      </c>
      <c r="K22" s="11"/>
    </row>
  </sheetData>
  <mergeCells count="3">
    <mergeCell ref="B4:G4"/>
    <mergeCell ref="B1:H1"/>
    <mergeCell ref="B2:G2"/>
  </mergeCells>
  <pageMargins left="0.7" right="0.7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L8" sqref="L8"/>
    </sheetView>
  </sheetViews>
  <sheetFormatPr defaultRowHeight="14.4" x14ac:dyDescent="0.3"/>
  <cols>
    <col min="1" max="1" width="3.33203125" customWidth="1"/>
    <col min="2" max="2" width="13.109375" customWidth="1"/>
    <col min="3" max="3" width="12.21875" customWidth="1"/>
    <col min="4" max="4" width="6.5546875" customWidth="1"/>
    <col min="5" max="5" width="10.21875" customWidth="1"/>
    <col min="6" max="6" width="18.21875" customWidth="1"/>
    <col min="7" max="7" width="12.109375" customWidth="1"/>
    <col min="8" max="8" width="10.77734375" customWidth="1"/>
    <col min="9" max="9" width="9.5546875" customWidth="1"/>
    <col min="10" max="10" width="24.44140625" customWidth="1"/>
  </cols>
  <sheetData>
    <row r="1" spans="1:10" ht="15.6" x14ac:dyDescent="0.3">
      <c r="B1" s="91" t="s">
        <v>368</v>
      </c>
      <c r="C1" s="91"/>
      <c r="D1" s="91"/>
      <c r="E1" s="91"/>
      <c r="F1" s="91"/>
      <c r="G1" s="91"/>
      <c r="H1" s="91"/>
    </row>
    <row r="2" spans="1:10" ht="15.6" x14ac:dyDescent="0.3">
      <c r="B2" s="91" t="s">
        <v>369</v>
      </c>
      <c r="C2" s="91"/>
      <c r="D2" s="91"/>
      <c r="E2" s="91"/>
      <c r="F2" s="91"/>
      <c r="G2" s="91"/>
      <c r="H2" s="80"/>
    </row>
    <row r="3" spans="1:10" ht="15.6" x14ac:dyDescent="0.3">
      <c r="B3" s="80"/>
      <c r="C3" s="80"/>
      <c r="D3" s="80"/>
      <c r="E3" s="80"/>
      <c r="F3" s="80"/>
      <c r="G3" s="80"/>
      <c r="H3" s="80"/>
    </row>
    <row r="4" spans="1:10" ht="17.399999999999999" x14ac:dyDescent="0.3">
      <c r="B4" s="100" t="s">
        <v>371</v>
      </c>
      <c r="C4" s="100"/>
      <c r="D4" s="100"/>
      <c r="E4" s="100"/>
      <c r="F4" s="100"/>
      <c r="G4" s="100"/>
      <c r="H4" s="80"/>
    </row>
    <row r="6" spans="1:10" ht="84.6" x14ac:dyDescent="0.3">
      <c r="A6" s="2"/>
      <c r="B6" s="2" t="s">
        <v>22</v>
      </c>
      <c r="C6" s="3" t="s">
        <v>4</v>
      </c>
      <c r="D6" s="4" t="s">
        <v>5</v>
      </c>
      <c r="E6" s="12" t="s">
        <v>7</v>
      </c>
      <c r="F6" s="8" t="s">
        <v>9</v>
      </c>
      <c r="G6" s="81" t="s">
        <v>28</v>
      </c>
      <c r="H6" s="10" t="s">
        <v>16</v>
      </c>
      <c r="I6" s="79" t="s">
        <v>17</v>
      </c>
      <c r="J6" s="13" t="s">
        <v>367</v>
      </c>
    </row>
    <row r="7" spans="1:10" ht="34.950000000000003" customHeight="1" x14ac:dyDescent="0.3">
      <c r="A7" s="21">
        <f t="shared" ref="A7:A12" si="0">1+A6</f>
        <v>1</v>
      </c>
      <c r="B7" s="21" t="s">
        <v>134</v>
      </c>
      <c r="C7" s="25" t="s">
        <v>135</v>
      </c>
      <c r="D7" s="25"/>
      <c r="E7" s="26" t="s">
        <v>136</v>
      </c>
      <c r="F7" s="31" t="s">
        <v>137</v>
      </c>
      <c r="G7" s="30"/>
      <c r="H7" s="25">
        <v>750218180</v>
      </c>
      <c r="I7" s="31" t="s">
        <v>138</v>
      </c>
      <c r="J7" s="11"/>
    </row>
    <row r="8" spans="1:10" ht="34.950000000000003" customHeight="1" x14ac:dyDescent="0.3">
      <c r="A8" s="21">
        <f t="shared" si="0"/>
        <v>2</v>
      </c>
      <c r="B8" s="82" t="s">
        <v>254</v>
      </c>
      <c r="C8" s="24" t="s">
        <v>255</v>
      </c>
      <c r="D8" s="25"/>
      <c r="E8" s="26" t="s">
        <v>256</v>
      </c>
      <c r="F8" s="31" t="s">
        <v>257</v>
      </c>
      <c r="G8" s="30"/>
      <c r="H8" s="25">
        <v>707772220</v>
      </c>
      <c r="I8" s="31" t="s">
        <v>258</v>
      </c>
      <c r="J8" s="11"/>
    </row>
    <row r="9" spans="1:10" ht="34.950000000000003" customHeight="1" x14ac:dyDescent="0.3">
      <c r="A9" s="21">
        <f t="shared" si="0"/>
        <v>3</v>
      </c>
      <c r="B9" s="21" t="s">
        <v>259</v>
      </c>
      <c r="C9" s="24" t="s">
        <v>260</v>
      </c>
      <c r="D9" s="25"/>
      <c r="E9" s="26" t="s">
        <v>261</v>
      </c>
      <c r="F9" s="31" t="s">
        <v>262</v>
      </c>
      <c r="G9" s="30"/>
      <c r="H9" s="25">
        <v>751021353</v>
      </c>
      <c r="I9" s="31" t="s">
        <v>41</v>
      </c>
      <c r="J9" s="11"/>
    </row>
    <row r="10" spans="1:10" ht="34.950000000000003" customHeight="1" x14ac:dyDescent="0.3">
      <c r="A10" s="21">
        <f t="shared" si="0"/>
        <v>4</v>
      </c>
      <c r="B10" s="21" t="s">
        <v>234</v>
      </c>
      <c r="C10" s="24" t="s">
        <v>235</v>
      </c>
      <c r="D10" s="25"/>
      <c r="E10" s="26" t="s">
        <v>348</v>
      </c>
      <c r="F10" s="31" t="s">
        <v>236</v>
      </c>
      <c r="G10" s="30"/>
      <c r="H10" s="25">
        <v>764611949</v>
      </c>
      <c r="I10" s="31" t="s">
        <v>80</v>
      </c>
      <c r="J10" s="11"/>
    </row>
    <row r="11" spans="1:10" ht="34.950000000000003" customHeight="1" x14ac:dyDescent="0.3">
      <c r="A11" s="21">
        <f t="shared" si="0"/>
        <v>5</v>
      </c>
      <c r="B11" s="21" t="s">
        <v>105</v>
      </c>
      <c r="C11" s="24" t="s">
        <v>106</v>
      </c>
      <c r="D11" s="25"/>
      <c r="E11" s="26" t="s">
        <v>107</v>
      </c>
      <c r="F11" s="31" t="s">
        <v>108</v>
      </c>
      <c r="G11" s="30"/>
      <c r="H11" s="25">
        <v>752689643</v>
      </c>
      <c r="I11" s="31" t="s">
        <v>109</v>
      </c>
      <c r="J11" s="11"/>
    </row>
    <row r="12" spans="1:10" ht="34.950000000000003" customHeight="1" x14ac:dyDescent="0.3">
      <c r="A12" s="21">
        <f t="shared" si="0"/>
        <v>6</v>
      </c>
      <c r="B12" s="21" t="s">
        <v>195</v>
      </c>
      <c r="C12" s="24" t="s">
        <v>196</v>
      </c>
      <c r="D12" s="25"/>
      <c r="E12" s="26" t="s">
        <v>197</v>
      </c>
      <c r="F12" s="31" t="s">
        <v>198</v>
      </c>
      <c r="G12" s="30"/>
      <c r="H12" s="25">
        <v>751708084</v>
      </c>
      <c r="I12" s="31" t="s">
        <v>41</v>
      </c>
      <c r="J12" s="11"/>
    </row>
  </sheetData>
  <mergeCells count="3">
    <mergeCell ref="B1:H1"/>
    <mergeCell ref="B2:G2"/>
    <mergeCell ref="B4:G4"/>
  </mergeCells>
  <pageMargins left="0.7" right="0.7" top="0.75" bottom="0.75" header="0.3" footer="0.3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opLeftCell="A85" zoomScaleNormal="100" workbookViewId="0">
      <selection activeCell="P70" sqref="P70"/>
    </sheetView>
  </sheetViews>
  <sheetFormatPr defaultRowHeight="14.4" x14ac:dyDescent="0.3"/>
  <cols>
    <col min="1" max="1" width="4" customWidth="1"/>
    <col min="2" max="2" width="17.33203125" customWidth="1"/>
    <col min="3" max="3" width="16.88671875" customWidth="1"/>
    <col min="4" max="4" width="17" customWidth="1"/>
    <col min="5" max="5" width="8.77734375" customWidth="1"/>
    <col min="6" max="6" width="19.5546875" customWidth="1"/>
    <col min="7" max="7" width="8.109375" customWidth="1"/>
    <col min="8" max="8" width="8.33203125" customWidth="1"/>
    <col min="11" max="11" width="6.33203125" customWidth="1"/>
    <col min="12" max="12" width="7.44140625" customWidth="1"/>
    <col min="13" max="13" width="9.88671875" customWidth="1"/>
    <col min="14" max="14" width="13.88671875" customWidth="1"/>
    <col min="16" max="16" width="9.33203125" bestFit="1" customWidth="1"/>
    <col min="18" max="22" width="9" bestFit="1" customWidth="1"/>
  </cols>
  <sheetData>
    <row r="1" spans="1:26" x14ac:dyDescent="0.3"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R1" s="66"/>
      <c r="S1" s="66"/>
      <c r="T1" s="66"/>
      <c r="U1" s="66"/>
      <c r="V1" s="66"/>
    </row>
    <row r="2" spans="1:26" ht="17.399999999999999" x14ac:dyDescent="0.3">
      <c r="B2" s="100" t="s">
        <v>368</v>
      </c>
      <c r="C2" s="100"/>
      <c r="D2" s="100"/>
      <c r="E2" s="100"/>
      <c r="F2" s="100"/>
      <c r="G2" s="100"/>
      <c r="H2" s="100"/>
      <c r="I2" s="100"/>
      <c r="J2" s="100"/>
      <c r="R2" s="66"/>
      <c r="S2" s="66"/>
      <c r="T2" s="66"/>
      <c r="U2" s="66"/>
      <c r="V2" s="66"/>
    </row>
    <row r="3" spans="1:26" ht="16.2" x14ac:dyDescent="0.35">
      <c r="B3" s="101" t="s">
        <v>299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Y3" s="16"/>
    </row>
    <row r="4" spans="1:26" ht="17.399999999999999" x14ac:dyDescent="0.3">
      <c r="B4" s="102" t="s">
        <v>389</v>
      </c>
      <c r="C4" s="102"/>
      <c r="D4" s="102"/>
      <c r="E4" s="102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66"/>
      <c r="S4" s="66"/>
      <c r="T4" s="66"/>
      <c r="U4" s="66"/>
      <c r="V4" s="66"/>
      <c r="W4" s="16"/>
      <c r="Y4" s="16"/>
    </row>
    <row r="5" spans="1:26" ht="47.4" customHeight="1" x14ac:dyDescent="0.3">
      <c r="A5" s="13"/>
      <c r="B5" s="13" t="s">
        <v>20</v>
      </c>
      <c r="C5" s="32" t="s">
        <v>4</v>
      </c>
      <c r="D5" s="10" t="s">
        <v>5</v>
      </c>
      <c r="E5" s="32" t="s">
        <v>6</v>
      </c>
      <c r="F5" s="32" t="s">
        <v>61</v>
      </c>
      <c r="G5" s="36" t="s">
        <v>372</v>
      </c>
      <c r="H5" s="36" t="s">
        <v>373</v>
      </c>
      <c r="I5" s="36" t="s">
        <v>374</v>
      </c>
      <c r="J5" s="36" t="s">
        <v>375</v>
      </c>
      <c r="K5" s="32" t="s">
        <v>376</v>
      </c>
      <c r="L5" s="32" t="s">
        <v>377</v>
      </c>
      <c r="M5" s="79" t="s">
        <v>378</v>
      </c>
      <c r="N5" s="36" t="s">
        <v>379</v>
      </c>
      <c r="O5" s="13" t="s">
        <v>27</v>
      </c>
      <c r="P5" s="13" t="s">
        <v>28</v>
      </c>
      <c r="Q5" s="10" t="s">
        <v>29</v>
      </c>
      <c r="R5" s="68" t="s">
        <v>30</v>
      </c>
      <c r="S5" s="68" t="s">
        <v>31</v>
      </c>
      <c r="T5" s="68" t="s">
        <v>32</v>
      </c>
      <c r="U5" s="68" t="s">
        <v>33</v>
      </c>
      <c r="V5" s="68" t="s">
        <v>34</v>
      </c>
      <c r="W5" s="65" t="s">
        <v>35</v>
      </c>
      <c r="X5" s="13" t="s">
        <v>17</v>
      </c>
      <c r="Y5" s="36" t="s">
        <v>16</v>
      </c>
      <c r="Z5" s="10" t="s">
        <v>18</v>
      </c>
    </row>
    <row r="6" spans="1:26" ht="25.05" customHeight="1" x14ac:dyDescent="0.3">
      <c r="A6" s="21">
        <f t="shared" ref="A6:A50" si="0">1+A5</f>
        <v>1</v>
      </c>
      <c r="B6" s="21" t="s">
        <v>319</v>
      </c>
      <c r="C6" s="21" t="s">
        <v>65</v>
      </c>
      <c r="D6" s="78"/>
      <c r="E6" s="21" t="s">
        <v>38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3">
        <v>38116</v>
      </c>
      <c r="Q6" s="21" t="s">
        <v>320</v>
      </c>
      <c r="R6" s="69" t="s">
        <v>54</v>
      </c>
      <c r="S6" s="69" t="s">
        <v>54</v>
      </c>
      <c r="T6" s="69" t="s">
        <v>54</v>
      </c>
      <c r="U6" s="69" t="s">
        <v>55</v>
      </c>
      <c r="V6" s="69" t="s">
        <v>54</v>
      </c>
      <c r="W6" s="21"/>
      <c r="X6" s="21" t="s">
        <v>190</v>
      </c>
      <c r="Y6" s="21">
        <v>781896608</v>
      </c>
      <c r="Z6" s="21"/>
    </row>
    <row r="7" spans="1:26" ht="25.05" customHeight="1" x14ac:dyDescent="0.3">
      <c r="A7" s="21">
        <f t="shared" si="0"/>
        <v>2</v>
      </c>
      <c r="B7" s="21" t="s">
        <v>142</v>
      </c>
      <c r="C7" s="21" t="s">
        <v>143</v>
      </c>
      <c r="D7" s="21"/>
      <c r="E7" s="21" t="s">
        <v>38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327</v>
      </c>
      <c r="Q7" s="21" t="s">
        <v>144</v>
      </c>
      <c r="R7" s="69">
        <v>3</v>
      </c>
      <c r="S7" s="69">
        <v>6</v>
      </c>
      <c r="T7" s="69">
        <v>4</v>
      </c>
      <c r="U7" s="69">
        <v>7</v>
      </c>
      <c r="V7" s="69">
        <v>6</v>
      </c>
      <c r="W7" s="21"/>
      <c r="X7" s="21" t="s">
        <v>138</v>
      </c>
      <c r="Y7" s="21">
        <v>793322344</v>
      </c>
      <c r="Z7" s="21">
        <v>782045153</v>
      </c>
    </row>
    <row r="8" spans="1:26" ht="25.05" customHeight="1" x14ac:dyDescent="0.3">
      <c r="A8" s="21">
        <f t="shared" si="0"/>
        <v>3</v>
      </c>
      <c r="B8" s="21" t="s">
        <v>90</v>
      </c>
      <c r="C8" s="21" t="s">
        <v>44</v>
      </c>
      <c r="D8" s="21" t="s">
        <v>91</v>
      </c>
      <c r="E8" s="21" t="s">
        <v>46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325</v>
      </c>
      <c r="Q8" s="21" t="s">
        <v>92</v>
      </c>
      <c r="R8" s="69">
        <v>5</v>
      </c>
      <c r="S8" s="69">
        <v>3</v>
      </c>
      <c r="T8" s="69">
        <v>5</v>
      </c>
      <c r="U8" s="69">
        <v>6</v>
      </c>
      <c r="V8" s="69">
        <v>5</v>
      </c>
      <c r="W8" s="21"/>
      <c r="X8" s="21" t="s">
        <v>93</v>
      </c>
      <c r="Y8" s="21">
        <v>778454719</v>
      </c>
      <c r="Z8" s="21">
        <v>774928059</v>
      </c>
    </row>
    <row r="9" spans="1:26" ht="25.05" customHeight="1" x14ac:dyDescent="0.3">
      <c r="A9" s="21">
        <f t="shared" si="0"/>
        <v>4</v>
      </c>
      <c r="B9" s="21" t="s">
        <v>186</v>
      </c>
      <c r="C9" s="21" t="s">
        <v>187</v>
      </c>
      <c r="D9" s="21" t="s">
        <v>188</v>
      </c>
      <c r="E9" s="21" t="s">
        <v>38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3">
        <v>38477</v>
      </c>
      <c r="Q9" s="21" t="s">
        <v>189</v>
      </c>
      <c r="R9" s="69" t="s">
        <v>79</v>
      </c>
      <c r="S9" s="69" t="s">
        <v>54</v>
      </c>
      <c r="T9" s="69" t="s">
        <v>54</v>
      </c>
      <c r="U9" s="69" t="s">
        <v>54</v>
      </c>
      <c r="V9" s="69" t="s">
        <v>54</v>
      </c>
      <c r="W9" s="21"/>
      <c r="X9" s="21" t="s">
        <v>190</v>
      </c>
      <c r="Y9" s="21">
        <v>770771419</v>
      </c>
      <c r="Z9" s="21">
        <v>772562398</v>
      </c>
    </row>
    <row r="10" spans="1:26" ht="25.05" customHeight="1" x14ac:dyDescent="0.3">
      <c r="A10" s="21">
        <f t="shared" si="0"/>
        <v>5</v>
      </c>
      <c r="B10" s="21" t="s">
        <v>271</v>
      </c>
      <c r="C10" s="21" t="s">
        <v>272</v>
      </c>
      <c r="D10" s="21"/>
      <c r="E10" s="21" t="s">
        <v>38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>
        <v>38538</v>
      </c>
      <c r="Q10" s="21" t="s">
        <v>273</v>
      </c>
      <c r="R10" s="69" t="s">
        <v>55</v>
      </c>
      <c r="S10" s="69" t="s">
        <v>55</v>
      </c>
      <c r="T10" s="69" t="s">
        <v>54</v>
      </c>
      <c r="U10" s="69" t="s">
        <v>55</v>
      </c>
      <c r="V10" s="69" t="s">
        <v>55</v>
      </c>
      <c r="W10" s="21"/>
      <c r="X10" s="21" t="s">
        <v>246</v>
      </c>
      <c r="Y10" s="21">
        <v>745721208</v>
      </c>
      <c r="Z10" s="21">
        <v>752691915</v>
      </c>
    </row>
    <row r="11" spans="1:26" ht="25.05" customHeight="1" x14ac:dyDescent="0.3">
      <c r="A11" s="21">
        <f t="shared" si="0"/>
        <v>6</v>
      </c>
      <c r="B11" s="21" t="s">
        <v>317</v>
      </c>
      <c r="C11" s="21" t="s">
        <v>72</v>
      </c>
      <c r="D11" s="21"/>
      <c r="E11" s="21" t="s">
        <v>38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 t="s">
        <v>328</v>
      </c>
      <c r="Q11" s="21" t="s">
        <v>318</v>
      </c>
      <c r="R11" s="69">
        <v>7</v>
      </c>
      <c r="S11" s="69">
        <v>5</v>
      </c>
      <c r="T11" s="69">
        <v>6</v>
      </c>
      <c r="U11" s="69">
        <v>8</v>
      </c>
      <c r="V11" s="69">
        <v>8</v>
      </c>
      <c r="W11" s="21"/>
      <c r="X11" s="21" t="s">
        <v>293</v>
      </c>
      <c r="Y11" s="21">
        <v>761300219</v>
      </c>
      <c r="Z11" s="21"/>
    </row>
    <row r="12" spans="1:26" ht="25.05" customHeight="1" x14ac:dyDescent="0.3">
      <c r="A12" s="21">
        <f t="shared" si="0"/>
        <v>7</v>
      </c>
      <c r="B12" s="21" t="s">
        <v>210</v>
      </c>
      <c r="C12" s="21" t="s">
        <v>211</v>
      </c>
      <c r="D12" s="21"/>
      <c r="E12" s="21" t="s">
        <v>38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3">
        <v>38119</v>
      </c>
      <c r="Q12" s="21" t="s">
        <v>212</v>
      </c>
      <c r="R12" s="69">
        <v>4</v>
      </c>
      <c r="S12" s="69">
        <v>5</v>
      </c>
      <c r="T12" s="69">
        <v>6</v>
      </c>
      <c r="U12" s="69">
        <v>6</v>
      </c>
      <c r="V12" s="69">
        <v>8</v>
      </c>
      <c r="W12" s="21"/>
      <c r="X12" s="21" t="s">
        <v>41</v>
      </c>
      <c r="Y12" s="21">
        <v>759624353</v>
      </c>
      <c r="Z12" s="21">
        <v>751520156</v>
      </c>
    </row>
    <row r="13" spans="1:26" ht="25.05" customHeight="1" x14ac:dyDescent="0.3">
      <c r="A13" s="21">
        <f t="shared" si="0"/>
        <v>8</v>
      </c>
      <c r="B13" s="21" t="s">
        <v>277</v>
      </c>
      <c r="C13" s="21" t="s">
        <v>278</v>
      </c>
      <c r="D13" s="21"/>
      <c r="E13" s="21" t="s">
        <v>46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 t="s">
        <v>279</v>
      </c>
      <c r="Q13" s="21" t="s">
        <v>280</v>
      </c>
      <c r="R13" s="69" t="s">
        <v>54</v>
      </c>
      <c r="S13" s="69" t="s">
        <v>55</v>
      </c>
      <c r="T13" s="69" t="s">
        <v>54</v>
      </c>
      <c r="U13" s="69" t="s">
        <v>79</v>
      </c>
      <c r="V13" s="69" t="s">
        <v>54</v>
      </c>
      <c r="W13" s="21"/>
      <c r="X13" s="21" t="s">
        <v>85</v>
      </c>
      <c r="Y13" s="21">
        <v>707738133</v>
      </c>
      <c r="Z13" s="21">
        <v>753864069</v>
      </c>
    </row>
    <row r="14" spans="1:26" ht="25.05" customHeight="1" x14ac:dyDescent="0.3">
      <c r="A14" s="21">
        <f t="shared" si="0"/>
        <v>9</v>
      </c>
      <c r="B14" s="21" t="s">
        <v>242</v>
      </c>
      <c r="C14" s="21" t="s">
        <v>243</v>
      </c>
      <c r="D14" s="21"/>
      <c r="E14" s="21" t="s">
        <v>38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42" t="s">
        <v>244</v>
      </c>
      <c r="Q14" s="21" t="s">
        <v>245</v>
      </c>
      <c r="R14" s="69" t="s">
        <v>54</v>
      </c>
      <c r="S14" s="69" t="s">
        <v>55</v>
      </c>
      <c r="T14" s="69" t="s">
        <v>55</v>
      </c>
      <c r="U14" s="69" t="s">
        <v>79</v>
      </c>
      <c r="V14" s="69" t="s">
        <v>54</v>
      </c>
      <c r="W14" s="21"/>
      <c r="X14" s="21" t="s">
        <v>246</v>
      </c>
      <c r="Y14" s="21">
        <v>780780230</v>
      </c>
      <c r="Z14" s="21">
        <v>778186153</v>
      </c>
    </row>
    <row r="15" spans="1:26" ht="25.05" customHeight="1" x14ac:dyDescent="0.3">
      <c r="A15" s="21">
        <f t="shared" si="0"/>
        <v>10</v>
      </c>
      <c r="B15" s="21" t="s">
        <v>145</v>
      </c>
      <c r="C15" s="21" t="s">
        <v>146</v>
      </c>
      <c r="D15" s="21"/>
      <c r="E15" s="21" t="s">
        <v>46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 t="s">
        <v>147</v>
      </c>
      <c r="Q15" s="21" t="s">
        <v>148</v>
      </c>
      <c r="R15" s="69" t="s">
        <v>54</v>
      </c>
      <c r="S15" s="69" t="s">
        <v>79</v>
      </c>
      <c r="T15" s="69" t="s">
        <v>54</v>
      </c>
      <c r="U15" s="69" t="s">
        <v>79</v>
      </c>
      <c r="V15" s="69" t="s">
        <v>54</v>
      </c>
      <c r="W15" s="21"/>
      <c r="X15" s="21" t="s">
        <v>85</v>
      </c>
      <c r="Y15" s="21">
        <v>759119903</v>
      </c>
      <c r="Z15" s="21">
        <v>741656771</v>
      </c>
    </row>
    <row r="16" spans="1:26" ht="25.05" customHeight="1" x14ac:dyDescent="0.3">
      <c r="A16" s="21">
        <f t="shared" si="0"/>
        <v>11</v>
      </c>
      <c r="B16" s="21" t="s">
        <v>202</v>
      </c>
      <c r="C16" s="21" t="s">
        <v>203</v>
      </c>
      <c r="D16" s="21"/>
      <c r="E16" s="21" t="s">
        <v>38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 t="s">
        <v>204</v>
      </c>
      <c r="Q16" s="21" t="s">
        <v>205</v>
      </c>
      <c r="R16" s="69">
        <v>8</v>
      </c>
      <c r="S16" s="69">
        <v>3</v>
      </c>
      <c r="T16" s="69">
        <v>6</v>
      </c>
      <c r="U16" s="69">
        <v>6</v>
      </c>
      <c r="V16" s="69">
        <v>6</v>
      </c>
      <c r="W16" s="21"/>
      <c r="X16" s="21" t="s">
        <v>41</v>
      </c>
      <c r="Y16" s="21">
        <v>703847046</v>
      </c>
      <c r="Z16" s="21">
        <v>770870934</v>
      </c>
    </row>
    <row r="17" spans="1:26" ht="25.05" customHeight="1" x14ac:dyDescent="0.3">
      <c r="A17" s="21">
        <f t="shared" si="0"/>
        <v>12</v>
      </c>
      <c r="B17" s="21" t="s">
        <v>314</v>
      </c>
      <c r="C17" s="21" t="s">
        <v>222</v>
      </c>
      <c r="D17" s="21" t="s">
        <v>315</v>
      </c>
      <c r="E17" s="21" t="s">
        <v>38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3">
        <v>39146</v>
      </c>
      <c r="Q17" s="21" t="s">
        <v>326</v>
      </c>
      <c r="R17" s="69" t="s">
        <v>54</v>
      </c>
      <c r="S17" s="69" t="s">
        <v>55</v>
      </c>
      <c r="T17" s="69" t="s">
        <v>54</v>
      </c>
      <c r="U17" s="69" t="s">
        <v>55</v>
      </c>
      <c r="V17" s="69" t="s">
        <v>55</v>
      </c>
      <c r="W17" s="21"/>
      <c r="X17" s="31" t="s">
        <v>316</v>
      </c>
      <c r="Y17" s="21">
        <v>794932068</v>
      </c>
      <c r="Z17" s="21"/>
    </row>
    <row r="18" spans="1:26" ht="25.05" customHeight="1" x14ac:dyDescent="0.3">
      <c r="A18" s="21">
        <f t="shared" si="0"/>
        <v>13</v>
      </c>
      <c r="B18" s="21" t="s">
        <v>94</v>
      </c>
      <c r="C18" s="21" t="s">
        <v>37</v>
      </c>
      <c r="D18" s="21"/>
      <c r="E18" s="21" t="s">
        <v>38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3">
        <v>38936</v>
      </c>
      <c r="Q18" s="21" t="s">
        <v>95</v>
      </c>
      <c r="R18" s="69" t="s">
        <v>79</v>
      </c>
      <c r="S18" s="69" t="s">
        <v>79</v>
      </c>
      <c r="T18" s="69" t="s">
        <v>54</v>
      </c>
      <c r="U18" s="69" t="s">
        <v>54</v>
      </c>
      <c r="V18" s="69" t="s">
        <v>54</v>
      </c>
      <c r="W18" s="21"/>
      <c r="X18" s="21" t="s">
        <v>96</v>
      </c>
      <c r="Y18" s="21">
        <v>744054446</v>
      </c>
      <c r="Z18" s="21">
        <v>704719774</v>
      </c>
    </row>
    <row r="19" spans="1:26" ht="25.05" customHeight="1" x14ac:dyDescent="0.3">
      <c r="A19" s="21">
        <f t="shared" si="0"/>
        <v>14</v>
      </c>
      <c r="B19" s="21" t="s">
        <v>119</v>
      </c>
      <c r="C19" s="21" t="s">
        <v>115</v>
      </c>
      <c r="D19" s="21"/>
      <c r="E19" s="21" t="s">
        <v>38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3">
        <v>38535</v>
      </c>
      <c r="Q19" s="21" t="s">
        <v>120</v>
      </c>
      <c r="R19" s="69" t="s">
        <v>55</v>
      </c>
      <c r="S19" s="69" t="s">
        <v>55</v>
      </c>
      <c r="T19" s="69" t="s">
        <v>55</v>
      </c>
      <c r="U19" s="69" t="s">
        <v>55</v>
      </c>
      <c r="V19" s="69" t="s">
        <v>55</v>
      </c>
      <c r="W19" s="21"/>
      <c r="X19" s="21" t="s">
        <v>41</v>
      </c>
      <c r="Y19" s="21">
        <v>705425358</v>
      </c>
      <c r="Z19" s="21">
        <v>701097510</v>
      </c>
    </row>
    <row r="20" spans="1:26" ht="25.05" customHeight="1" x14ac:dyDescent="0.3">
      <c r="A20" s="21">
        <f t="shared" si="0"/>
        <v>15</v>
      </c>
      <c r="B20" s="21" t="s">
        <v>174</v>
      </c>
      <c r="C20" s="21" t="s">
        <v>175</v>
      </c>
      <c r="D20" s="21"/>
      <c r="E20" s="21" t="s">
        <v>46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3">
        <v>37811</v>
      </c>
      <c r="Q20" s="21" t="s">
        <v>176</v>
      </c>
      <c r="R20" s="69">
        <v>7</v>
      </c>
      <c r="S20" s="69">
        <v>8</v>
      </c>
      <c r="T20" s="69">
        <v>6</v>
      </c>
      <c r="U20" s="69">
        <v>8</v>
      </c>
      <c r="V20" s="69">
        <v>8</v>
      </c>
      <c r="W20" s="21"/>
      <c r="X20" s="21" t="s">
        <v>85</v>
      </c>
      <c r="Y20" s="21">
        <v>740878657</v>
      </c>
      <c r="Z20" s="21">
        <v>751760627</v>
      </c>
    </row>
    <row r="21" spans="1:26" ht="25.05" customHeight="1" x14ac:dyDescent="0.3">
      <c r="A21" s="21">
        <f t="shared" si="0"/>
        <v>16</v>
      </c>
      <c r="B21" s="21" t="s">
        <v>64</v>
      </c>
      <c r="C21" s="21" t="s">
        <v>65</v>
      </c>
      <c r="D21" s="21"/>
      <c r="E21" s="21" t="s">
        <v>38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43">
        <v>38233</v>
      </c>
      <c r="Q21" s="21" t="s">
        <v>66</v>
      </c>
      <c r="R21" s="69" t="s">
        <v>55</v>
      </c>
      <c r="S21" s="69" t="s">
        <v>55</v>
      </c>
      <c r="T21" s="69" t="s">
        <v>55</v>
      </c>
      <c r="U21" s="69" t="s">
        <v>55</v>
      </c>
      <c r="V21" s="69" t="s">
        <v>55</v>
      </c>
      <c r="W21" s="21"/>
      <c r="X21" s="21" t="s">
        <v>67</v>
      </c>
      <c r="Y21" s="21">
        <v>746183488</v>
      </c>
      <c r="Z21" s="21">
        <v>781569036</v>
      </c>
    </row>
    <row r="22" spans="1:26" ht="25.05" customHeight="1" x14ac:dyDescent="0.3">
      <c r="A22" s="21">
        <f t="shared" si="0"/>
        <v>17</v>
      </c>
      <c r="B22" s="21" t="s">
        <v>86</v>
      </c>
      <c r="C22" s="44" t="s">
        <v>335</v>
      </c>
      <c r="D22" s="21"/>
      <c r="E22" s="21" t="s">
        <v>38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 t="s">
        <v>88</v>
      </c>
      <c r="Q22" s="21" t="s">
        <v>89</v>
      </c>
      <c r="R22" s="69">
        <v>6</v>
      </c>
      <c r="S22" s="69">
        <v>3</v>
      </c>
      <c r="T22" s="69">
        <v>7</v>
      </c>
      <c r="U22" s="69">
        <v>6</v>
      </c>
      <c r="V22" s="69">
        <v>6</v>
      </c>
      <c r="W22" s="21"/>
      <c r="X22" s="21" t="s">
        <v>85</v>
      </c>
      <c r="Y22" s="21">
        <v>704042412</v>
      </c>
      <c r="Z22" s="21">
        <v>701396940</v>
      </c>
    </row>
    <row r="23" spans="1:26" ht="25.05" customHeight="1" x14ac:dyDescent="0.3">
      <c r="A23" s="21">
        <f t="shared" si="0"/>
        <v>18</v>
      </c>
      <c r="B23" s="21" t="s">
        <v>216</v>
      </c>
      <c r="C23" s="21" t="s">
        <v>217</v>
      </c>
      <c r="D23" s="21"/>
      <c r="E23" s="21" t="s">
        <v>38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 t="s">
        <v>218</v>
      </c>
      <c r="Q23" s="21" t="s">
        <v>219</v>
      </c>
      <c r="R23" s="69" t="s">
        <v>54</v>
      </c>
      <c r="S23" s="69" t="s">
        <v>55</v>
      </c>
      <c r="T23" s="69" t="s">
        <v>55</v>
      </c>
      <c r="U23" s="69" t="s">
        <v>54</v>
      </c>
      <c r="V23" s="69" t="s">
        <v>55</v>
      </c>
      <c r="W23" s="21"/>
      <c r="X23" s="21" t="s">
        <v>220</v>
      </c>
      <c r="Y23" s="21">
        <v>705996658</v>
      </c>
      <c r="Z23" s="21">
        <v>756288214</v>
      </c>
    </row>
    <row r="24" spans="1:26" ht="25.05" customHeight="1" x14ac:dyDescent="0.3">
      <c r="A24" s="21">
        <f t="shared" si="0"/>
        <v>19</v>
      </c>
      <c r="B24" s="21" t="s">
        <v>121</v>
      </c>
      <c r="C24" s="21" t="s">
        <v>122</v>
      </c>
      <c r="D24" s="21"/>
      <c r="E24" s="21" t="s">
        <v>46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3">
        <v>38269</v>
      </c>
      <c r="Q24" s="21" t="s">
        <v>123</v>
      </c>
      <c r="R24" s="69" t="s">
        <v>54</v>
      </c>
      <c r="S24" s="69" t="s">
        <v>54</v>
      </c>
      <c r="T24" s="69" t="s">
        <v>79</v>
      </c>
      <c r="U24" s="69" t="s">
        <v>54</v>
      </c>
      <c r="V24" s="69" t="s">
        <v>79</v>
      </c>
      <c r="W24" s="21"/>
      <c r="X24" s="21" t="s">
        <v>124</v>
      </c>
      <c r="Y24" s="21">
        <v>768402151</v>
      </c>
      <c r="Z24" s="21">
        <v>773102240</v>
      </c>
    </row>
    <row r="25" spans="1:26" ht="25.05" customHeight="1" x14ac:dyDescent="0.3">
      <c r="A25" s="21">
        <f t="shared" si="0"/>
        <v>20</v>
      </c>
      <c r="B25" s="21" t="s">
        <v>294</v>
      </c>
      <c r="C25" s="21" t="s">
        <v>260</v>
      </c>
      <c r="D25" s="21"/>
      <c r="E25" s="21" t="s">
        <v>38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3">
        <v>37987</v>
      </c>
      <c r="Q25" s="21" t="s">
        <v>295</v>
      </c>
      <c r="R25" s="69" t="s">
        <v>54</v>
      </c>
      <c r="S25" s="69" t="s">
        <v>54</v>
      </c>
      <c r="T25" s="69" t="s">
        <v>54</v>
      </c>
      <c r="U25" s="69" t="s">
        <v>55</v>
      </c>
      <c r="V25" s="69" t="s">
        <v>55</v>
      </c>
      <c r="W25" s="21"/>
      <c r="X25" s="21" t="s">
        <v>289</v>
      </c>
      <c r="Y25" s="21">
        <v>759445712</v>
      </c>
      <c r="Z25" s="21">
        <v>779465285</v>
      </c>
    </row>
    <row r="26" spans="1:26" ht="25.05" customHeight="1" x14ac:dyDescent="0.3">
      <c r="A26" s="21">
        <f t="shared" si="0"/>
        <v>21</v>
      </c>
      <c r="B26" s="21" t="s">
        <v>250</v>
      </c>
      <c r="C26" s="21" t="s">
        <v>65</v>
      </c>
      <c r="D26" s="21"/>
      <c r="E26" s="21" t="s">
        <v>38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 t="s">
        <v>251</v>
      </c>
      <c r="Q26" s="21" t="s">
        <v>252</v>
      </c>
      <c r="R26" s="69" t="s">
        <v>54</v>
      </c>
      <c r="S26" s="69" t="s">
        <v>55</v>
      </c>
      <c r="T26" s="69" t="s">
        <v>54</v>
      </c>
      <c r="U26" s="69" t="s">
        <v>54</v>
      </c>
      <c r="V26" s="69" t="s">
        <v>55</v>
      </c>
      <c r="W26" s="21"/>
      <c r="X26" s="21" t="s">
        <v>253</v>
      </c>
      <c r="Y26" s="21">
        <v>744238911</v>
      </c>
      <c r="Z26" s="21">
        <v>759789703</v>
      </c>
    </row>
    <row r="27" spans="1:26" ht="25.05" customHeight="1" x14ac:dyDescent="0.3">
      <c r="A27" s="21">
        <f t="shared" si="0"/>
        <v>22</v>
      </c>
      <c r="B27" s="21" t="s">
        <v>307</v>
      </c>
      <c r="C27" s="21" t="s">
        <v>308</v>
      </c>
      <c r="D27" s="21"/>
      <c r="E27" s="21" t="s">
        <v>46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 t="s">
        <v>321</v>
      </c>
      <c r="Q27" s="21" t="s">
        <v>312</v>
      </c>
      <c r="R27" s="69">
        <v>6</v>
      </c>
      <c r="S27" s="69">
        <v>4</v>
      </c>
      <c r="T27" s="69">
        <v>7</v>
      </c>
      <c r="U27" s="69">
        <v>7</v>
      </c>
      <c r="V27" s="69">
        <v>7</v>
      </c>
      <c r="W27" s="21"/>
      <c r="X27" s="21" t="s">
        <v>313</v>
      </c>
      <c r="Y27" s="21">
        <v>709019237</v>
      </c>
      <c r="Z27" s="21"/>
    </row>
    <row r="28" spans="1:26" ht="25.05" customHeight="1" x14ac:dyDescent="0.3">
      <c r="A28" s="21">
        <f t="shared" si="0"/>
        <v>23</v>
      </c>
      <c r="B28" s="21" t="s">
        <v>36</v>
      </c>
      <c r="C28" s="21" t="s">
        <v>37</v>
      </c>
      <c r="D28" s="21"/>
      <c r="E28" s="21" t="s">
        <v>38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 t="s">
        <v>39</v>
      </c>
      <c r="Q28" s="21" t="s">
        <v>40</v>
      </c>
      <c r="R28" s="69">
        <v>4</v>
      </c>
      <c r="S28" s="69">
        <v>6</v>
      </c>
      <c r="T28" s="69">
        <v>7</v>
      </c>
      <c r="U28" s="69">
        <v>8</v>
      </c>
      <c r="V28" s="69">
        <v>8</v>
      </c>
      <c r="W28" s="21"/>
      <c r="X28" s="21" t="s">
        <v>41</v>
      </c>
      <c r="Y28" s="21">
        <v>775443432</v>
      </c>
      <c r="Z28" s="21" t="s">
        <v>42</v>
      </c>
    </row>
    <row r="29" spans="1:26" ht="25.05" customHeight="1" x14ac:dyDescent="0.3">
      <c r="A29" s="21">
        <f t="shared" si="0"/>
        <v>24</v>
      </c>
      <c r="B29" s="21" t="s">
        <v>154</v>
      </c>
      <c r="C29" s="21" t="s">
        <v>155</v>
      </c>
      <c r="D29" s="21"/>
      <c r="E29" s="21" t="s">
        <v>46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3">
        <v>39212</v>
      </c>
      <c r="Q29" s="21" t="s">
        <v>156</v>
      </c>
      <c r="R29" s="69" t="s">
        <v>54</v>
      </c>
      <c r="S29" s="69" t="s">
        <v>79</v>
      </c>
      <c r="T29" s="69" t="s">
        <v>54</v>
      </c>
      <c r="U29" s="69" t="s">
        <v>79</v>
      </c>
      <c r="V29" s="69" t="s">
        <v>79</v>
      </c>
      <c r="W29" s="21"/>
      <c r="X29" s="21" t="s">
        <v>56</v>
      </c>
      <c r="Y29" s="21">
        <v>742434155</v>
      </c>
      <c r="Z29" s="21">
        <v>776864477</v>
      </c>
    </row>
    <row r="30" spans="1:26" ht="25.05" customHeight="1" x14ac:dyDescent="0.3">
      <c r="A30" s="21">
        <f t="shared" si="0"/>
        <v>25</v>
      </c>
      <c r="B30" s="21" t="s">
        <v>301</v>
      </c>
      <c r="C30" s="21" t="s">
        <v>302</v>
      </c>
      <c r="D30" s="21" t="s">
        <v>163</v>
      </c>
      <c r="E30" s="21" t="s">
        <v>38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3">
        <v>38453</v>
      </c>
      <c r="Q30" s="21" t="s">
        <v>303</v>
      </c>
      <c r="R30" s="69" t="s">
        <v>79</v>
      </c>
      <c r="S30" s="69" t="s">
        <v>55</v>
      </c>
      <c r="T30" s="69" t="s">
        <v>54</v>
      </c>
      <c r="U30" s="69" t="s">
        <v>55</v>
      </c>
      <c r="V30" s="69" t="s">
        <v>54</v>
      </c>
      <c r="W30" s="21"/>
      <c r="X30" s="21" t="s">
        <v>304</v>
      </c>
      <c r="Y30" s="21">
        <v>744454668</v>
      </c>
      <c r="Z30" s="21">
        <v>701447912</v>
      </c>
    </row>
    <row r="31" spans="1:26" ht="25.05" customHeight="1" x14ac:dyDescent="0.3">
      <c r="A31" s="21">
        <f t="shared" si="0"/>
        <v>26</v>
      </c>
      <c r="B31" s="21" t="s">
        <v>274</v>
      </c>
      <c r="C31" s="21" t="s">
        <v>114</v>
      </c>
      <c r="D31" s="21"/>
      <c r="E31" s="21" t="s">
        <v>38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 t="s">
        <v>275</v>
      </c>
      <c r="Q31" s="21" t="s">
        <v>276</v>
      </c>
      <c r="R31" s="69">
        <v>8</v>
      </c>
      <c r="S31" s="69">
        <v>7</v>
      </c>
      <c r="T31" s="69">
        <v>8</v>
      </c>
      <c r="U31" s="69">
        <v>8</v>
      </c>
      <c r="V31" s="69">
        <v>8</v>
      </c>
      <c r="W31" s="21"/>
      <c r="X31" s="21" t="s">
        <v>129</v>
      </c>
      <c r="Y31" s="21">
        <v>784995074</v>
      </c>
      <c r="Z31" s="21">
        <v>783234791</v>
      </c>
    </row>
    <row r="32" spans="1:26" ht="25.05" customHeight="1" x14ac:dyDescent="0.3">
      <c r="A32" s="21">
        <f t="shared" si="0"/>
        <v>27</v>
      </c>
      <c r="B32" s="21" t="s">
        <v>286</v>
      </c>
      <c r="C32" s="21" t="s">
        <v>260</v>
      </c>
      <c r="D32" s="21"/>
      <c r="E32" s="21" t="s">
        <v>38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 t="s">
        <v>287</v>
      </c>
      <c r="Q32" s="21" t="s">
        <v>288</v>
      </c>
      <c r="R32" s="69" t="s">
        <v>54</v>
      </c>
      <c r="S32" s="69" t="s">
        <v>55</v>
      </c>
      <c r="T32" s="69" t="s">
        <v>54</v>
      </c>
      <c r="U32" s="69" t="s">
        <v>55</v>
      </c>
      <c r="V32" s="69" t="s">
        <v>55</v>
      </c>
      <c r="W32" s="21"/>
      <c r="X32" s="21" t="s">
        <v>289</v>
      </c>
      <c r="Y32" s="21">
        <v>751535524</v>
      </c>
      <c r="Z32" s="21">
        <v>701794006</v>
      </c>
    </row>
    <row r="33" spans="1:26" ht="25.05" customHeight="1" x14ac:dyDescent="0.3">
      <c r="A33" s="21">
        <f t="shared" si="0"/>
        <v>28</v>
      </c>
      <c r="B33" s="21" t="s">
        <v>139</v>
      </c>
      <c r="C33" s="21" t="s">
        <v>290</v>
      </c>
      <c r="D33" s="21" t="s">
        <v>291</v>
      </c>
      <c r="E33" s="21" t="s">
        <v>38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3">
        <v>39150</v>
      </c>
      <c r="Q33" s="21" t="s">
        <v>292</v>
      </c>
      <c r="R33" s="69" t="s">
        <v>54</v>
      </c>
      <c r="S33" s="69" t="s">
        <v>79</v>
      </c>
      <c r="T33" s="69" t="s">
        <v>54</v>
      </c>
      <c r="U33" s="69" t="s">
        <v>55</v>
      </c>
      <c r="V33" s="69" t="s">
        <v>54</v>
      </c>
      <c r="W33" s="21"/>
      <c r="X33" s="21" t="s">
        <v>293</v>
      </c>
      <c r="Y33" s="21">
        <v>701792318</v>
      </c>
      <c r="Z33" s="21">
        <v>750877576</v>
      </c>
    </row>
    <row r="34" spans="1:26" ht="25.05" customHeight="1" x14ac:dyDescent="0.3">
      <c r="A34" s="21">
        <f t="shared" si="0"/>
        <v>29</v>
      </c>
      <c r="B34" s="21" t="s">
        <v>305</v>
      </c>
      <c r="C34" s="21" t="s">
        <v>306</v>
      </c>
      <c r="D34" s="21"/>
      <c r="E34" s="21" t="s">
        <v>38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3">
        <v>38202</v>
      </c>
      <c r="Q34" s="21" t="s">
        <v>324</v>
      </c>
      <c r="R34" s="69" t="s">
        <v>55</v>
      </c>
      <c r="S34" s="69" t="s">
        <v>55</v>
      </c>
      <c r="T34" s="69" t="s">
        <v>55</v>
      </c>
      <c r="U34" s="69" t="s">
        <v>55</v>
      </c>
      <c r="V34" s="69" t="s">
        <v>54</v>
      </c>
      <c r="W34" s="21"/>
      <c r="X34" s="21" t="s">
        <v>41</v>
      </c>
      <c r="Y34" s="21">
        <v>701164583</v>
      </c>
      <c r="Z34" s="21"/>
    </row>
    <row r="35" spans="1:26" ht="25.05" customHeight="1" x14ac:dyDescent="0.3">
      <c r="A35" s="21">
        <f t="shared" si="0"/>
        <v>30</v>
      </c>
      <c r="B35" s="21" t="s">
        <v>336</v>
      </c>
      <c r="C35" s="21" t="s">
        <v>337</v>
      </c>
      <c r="D35" s="21" t="s">
        <v>338</v>
      </c>
      <c r="E35" s="21" t="s">
        <v>38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 t="s">
        <v>339</v>
      </c>
      <c r="Q35" s="21" t="s">
        <v>340</v>
      </c>
      <c r="R35" s="69" t="s">
        <v>54</v>
      </c>
      <c r="S35" s="69" t="s">
        <v>54</v>
      </c>
      <c r="T35" s="69" t="s">
        <v>79</v>
      </c>
      <c r="U35" s="69" t="s">
        <v>54</v>
      </c>
      <c r="V35" s="69" t="s">
        <v>79</v>
      </c>
      <c r="W35" s="21"/>
      <c r="X35" s="21" t="s">
        <v>41</v>
      </c>
      <c r="Y35" s="21">
        <v>756743167</v>
      </c>
      <c r="Z35" s="21">
        <v>709370324</v>
      </c>
    </row>
    <row r="36" spans="1:26" ht="25.05" customHeight="1" x14ac:dyDescent="0.3">
      <c r="A36" s="21">
        <f t="shared" si="0"/>
        <v>31</v>
      </c>
      <c r="B36" s="21" t="s">
        <v>225</v>
      </c>
      <c r="C36" s="21" t="s">
        <v>226</v>
      </c>
      <c r="D36" s="21"/>
      <c r="E36" s="21" t="s">
        <v>38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 t="s">
        <v>227</v>
      </c>
      <c r="Q36" s="21" t="s">
        <v>228</v>
      </c>
      <c r="R36" s="69" t="s">
        <v>55</v>
      </c>
      <c r="S36" s="69" t="s">
        <v>55</v>
      </c>
      <c r="T36" s="69" t="s">
        <v>55</v>
      </c>
      <c r="U36" s="69" t="s">
        <v>55</v>
      </c>
      <c r="V36" s="69" t="s">
        <v>55</v>
      </c>
      <c r="W36" s="21"/>
      <c r="X36" s="21" t="s">
        <v>220</v>
      </c>
      <c r="Y36" s="21">
        <v>753727413</v>
      </c>
      <c r="Z36" s="21">
        <v>753727413</v>
      </c>
    </row>
    <row r="37" spans="1:26" ht="25.05" customHeight="1" x14ac:dyDescent="0.3">
      <c r="A37" s="21">
        <f t="shared" si="0"/>
        <v>32</v>
      </c>
      <c r="B37" s="21" t="s">
        <v>195</v>
      </c>
      <c r="C37" s="21" t="s">
        <v>206</v>
      </c>
      <c r="D37" s="21"/>
      <c r="E37" s="21" t="s">
        <v>38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 t="s">
        <v>322</v>
      </c>
      <c r="Q37" s="21" t="s">
        <v>323</v>
      </c>
      <c r="R37" s="69" t="s">
        <v>54</v>
      </c>
      <c r="S37" s="69" t="s">
        <v>54</v>
      </c>
      <c r="T37" s="69" t="s">
        <v>54</v>
      </c>
      <c r="U37" s="69" t="s">
        <v>54</v>
      </c>
      <c r="V37" s="69" t="s">
        <v>55</v>
      </c>
      <c r="W37" s="21"/>
      <c r="X37" s="21" t="s">
        <v>41</v>
      </c>
      <c r="Y37" s="21">
        <v>748101624</v>
      </c>
      <c r="Z37" s="21">
        <v>754164450</v>
      </c>
    </row>
    <row r="38" spans="1:26" ht="25.05" customHeight="1" x14ac:dyDescent="0.3">
      <c r="A38" s="21">
        <f t="shared" si="0"/>
        <v>33</v>
      </c>
      <c r="B38" s="21" t="s">
        <v>207</v>
      </c>
      <c r="C38" s="21" t="s">
        <v>208</v>
      </c>
      <c r="D38" s="21"/>
      <c r="E38" s="21" t="s">
        <v>38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3">
        <v>38420</v>
      </c>
      <c r="Q38" s="21" t="s">
        <v>209</v>
      </c>
      <c r="R38" s="69" t="s">
        <v>54</v>
      </c>
      <c r="S38" s="69" t="s">
        <v>54</v>
      </c>
      <c r="T38" s="69" t="s">
        <v>79</v>
      </c>
      <c r="U38" s="69" t="s">
        <v>55</v>
      </c>
      <c r="V38" s="69" t="s">
        <v>54</v>
      </c>
      <c r="W38" s="21"/>
      <c r="X38" s="21" t="s">
        <v>41</v>
      </c>
      <c r="Y38" s="21"/>
      <c r="Z38" s="21">
        <v>779056544</v>
      </c>
    </row>
    <row r="39" spans="1:26" ht="25.05" customHeight="1" x14ac:dyDescent="0.3">
      <c r="A39" s="21">
        <f t="shared" si="0"/>
        <v>34</v>
      </c>
      <c r="B39" s="21" t="s">
        <v>263</v>
      </c>
      <c r="C39" s="21" t="s">
        <v>264</v>
      </c>
      <c r="D39" s="21"/>
      <c r="E39" s="21" t="s">
        <v>38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3">
        <v>36595</v>
      </c>
      <c r="Q39" s="21" t="s">
        <v>265</v>
      </c>
      <c r="R39" s="69">
        <v>6</v>
      </c>
      <c r="S39" s="69">
        <v>8</v>
      </c>
      <c r="T39" s="69">
        <v>8</v>
      </c>
      <c r="U39" s="69">
        <v>8</v>
      </c>
      <c r="V39" s="69">
        <v>8</v>
      </c>
      <c r="W39" s="21"/>
      <c r="X39" s="21" t="s">
        <v>96</v>
      </c>
      <c r="Y39" s="21">
        <v>704393482</v>
      </c>
      <c r="Z39" s="21">
        <v>706613797</v>
      </c>
    </row>
    <row r="40" spans="1:26" ht="25.05" customHeight="1" x14ac:dyDescent="0.3">
      <c r="A40" s="21">
        <f t="shared" si="0"/>
        <v>35</v>
      </c>
      <c r="B40" s="21" t="s">
        <v>247</v>
      </c>
      <c r="C40" s="31" t="s">
        <v>248</v>
      </c>
      <c r="D40" s="21"/>
      <c r="E40" s="21" t="s">
        <v>38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 t="s">
        <v>117</v>
      </c>
      <c r="Q40" s="21" t="s">
        <v>249</v>
      </c>
      <c r="R40" s="69" t="s">
        <v>54</v>
      </c>
      <c r="S40" s="69" t="s">
        <v>55</v>
      </c>
      <c r="T40" s="69" t="s">
        <v>55</v>
      </c>
      <c r="U40" s="69" t="s">
        <v>54</v>
      </c>
      <c r="V40" s="69" t="s">
        <v>54</v>
      </c>
      <c r="W40" s="21"/>
      <c r="X40" s="21" t="s">
        <v>41</v>
      </c>
      <c r="Y40" s="21">
        <v>754510204</v>
      </c>
      <c r="Z40" s="21">
        <v>754218130</v>
      </c>
    </row>
    <row r="41" spans="1:26" ht="25.05" customHeight="1" x14ac:dyDescent="0.3">
      <c r="A41" s="21">
        <f t="shared" si="0"/>
        <v>36</v>
      </c>
      <c r="B41" s="21" t="s">
        <v>166</v>
      </c>
      <c r="C41" s="21" t="s">
        <v>167</v>
      </c>
      <c r="D41" s="21"/>
      <c r="E41" s="21" t="s">
        <v>38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3">
        <v>39083</v>
      </c>
      <c r="Q41" s="21" t="s">
        <v>168</v>
      </c>
      <c r="R41" s="69" t="s">
        <v>54</v>
      </c>
      <c r="S41" s="69" t="s">
        <v>55</v>
      </c>
      <c r="T41" s="69" t="s">
        <v>55</v>
      </c>
      <c r="U41" s="69" t="s">
        <v>55</v>
      </c>
      <c r="V41" s="69" t="s">
        <v>54</v>
      </c>
      <c r="W41" s="21"/>
      <c r="X41" s="21" t="s">
        <v>41</v>
      </c>
      <c r="Y41" s="21">
        <v>704851100</v>
      </c>
      <c r="Z41" s="21">
        <v>701222777</v>
      </c>
    </row>
    <row r="42" spans="1:26" ht="25.05" customHeight="1" x14ac:dyDescent="0.3">
      <c r="A42" s="21">
        <f t="shared" si="0"/>
        <v>37</v>
      </c>
      <c r="B42" s="21" t="s">
        <v>158</v>
      </c>
      <c r="C42" s="21" t="s">
        <v>159</v>
      </c>
      <c r="D42" s="21"/>
      <c r="E42" s="21" t="s">
        <v>46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 t="s">
        <v>160</v>
      </c>
      <c r="Q42" s="21" t="s">
        <v>161</v>
      </c>
      <c r="R42" s="69">
        <v>4</v>
      </c>
      <c r="S42" s="69">
        <v>2</v>
      </c>
      <c r="T42" s="69">
        <v>5</v>
      </c>
      <c r="U42" s="69">
        <v>5</v>
      </c>
      <c r="V42" s="69">
        <v>5</v>
      </c>
      <c r="W42" s="21"/>
      <c r="X42" s="21" t="s">
        <v>41</v>
      </c>
      <c r="Y42" s="21">
        <v>704050142</v>
      </c>
      <c r="Z42" s="21">
        <v>787298463</v>
      </c>
    </row>
    <row r="43" spans="1:26" ht="25.05" customHeight="1" x14ac:dyDescent="0.3">
      <c r="A43" s="21">
        <f t="shared" si="0"/>
        <v>38</v>
      </c>
      <c r="B43" s="21" t="s">
        <v>97</v>
      </c>
      <c r="C43" s="21" t="s">
        <v>98</v>
      </c>
      <c r="D43" s="21"/>
      <c r="E43" s="21" t="s">
        <v>38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3">
        <v>38475</v>
      </c>
      <c r="Q43" s="21" t="s">
        <v>99</v>
      </c>
      <c r="R43" s="69" t="s">
        <v>54</v>
      </c>
      <c r="S43" s="69" t="s">
        <v>55</v>
      </c>
      <c r="T43" s="69" t="s">
        <v>55</v>
      </c>
      <c r="U43" s="69" t="s">
        <v>55</v>
      </c>
      <c r="V43" s="69" t="s">
        <v>55</v>
      </c>
      <c r="W43" s="21"/>
      <c r="X43" s="21" t="s">
        <v>56</v>
      </c>
      <c r="Y43" s="21">
        <v>743851737</v>
      </c>
      <c r="Z43" s="21">
        <v>753341687</v>
      </c>
    </row>
    <row r="44" spans="1:26" ht="25.05" customHeight="1" x14ac:dyDescent="0.3">
      <c r="A44" s="21">
        <f t="shared" si="0"/>
        <v>39</v>
      </c>
      <c r="B44" s="21" t="s">
        <v>50</v>
      </c>
      <c r="C44" s="21" t="s">
        <v>51</v>
      </c>
      <c r="D44" s="21"/>
      <c r="E44" s="21" t="s">
        <v>38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 t="s">
        <v>52</v>
      </c>
      <c r="Q44" s="21" t="s">
        <v>53</v>
      </c>
      <c r="R44" s="69" t="s">
        <v>54</v>
      </c>
      <c r="S44" s="69" t="s">
        <v>55</v>
      </c>
      <c r="T44" s="69" t="s">
        <v>54</v>
      </c>
      <c r="U44" s="69" t="s">
        <v>55</v>
      </c>
      <c r="V44" s="69" t="s">
        <v>55</v>
      </c>
      <c r="W44" s="21"/>
      <c r="X44" s="21" t="s">
        <v>56</v>
      </c>
      <c r="Y44" s="21">
        <v>704212427</v>
      </c>
      <c r="Z44" s="21" t="s">
        <v>57</v>
      </c>
    </row>
    <row r="45" spans="1:26" ht="25.05" customHeight="1" x14ac:dyDescent="0.3">
      <c r="A45" s="21">
        <f t="shared" si="0"/>
        <v>40</v>
      </c>
      <c r="B45" s="21" t="s">
        <v>237</v>
      </c>
      <c r="C45" s="21" t="s">
        <v>238</v>
      </c>
      <c r="D45" s="21"/>
      <c r="E45" s="21" t="s">
        <v>38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 t="s">
        <v>239</v>
      </c>
      <c r="Q45" s="21" t="s">
        <v>240</v>
      </c>
      <c r="R45" s="69">
        <v>6</v>
      </c>
      <c r="S45" s="69">
        <v>6</v>
      </c>
      <c r="T45" s="69">
        <v>7</v>
      </c>
      <c r="U45" s="69">
        <v>8</v>
      </c>
      <c r="V45" s="69">
        <v>6</v>
      </c>
      <c r="W45" s="21"/>
      <c r="X45" s="31" t="s">
        <v>241</v>
      </c>
      <c r="Y45" s="21">
        <v>788146110</v>
      </c>
      <c r="Z45" s="21">
        <v>774771162</v>
      </c>
    </row>
    <row r="46" spans="1:26" ht="25.05" customHeight="1" x14ac:dyDescent="0.3">
      <c r="A46" s="21">
        <f t="shared" si="0"/>
        <v>41</v>
      </c>
      <c r="B46" s="21" t="s">
        <v>177</v>
      </c>
      <c r="C46" s="21" t="s">
        <v>178</v>
      </c>
      <c r="D46" s="21"/>
      <c r="E46" s="21" t="s">
        <v>46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3">
        <v>38659</v>
      </c>
      <c r="Q46" s="21" t="s">
        <v>179</v>
      </c>
      <c r="R46" s="69" t="s">
        <v>79</v>
      </c>
      <c r="S46" s="69" t="s">
        <v>55</v>
      </c>
      <c r="T46" s="69" t="s">
        <v>55</v>
      </c>
      <c r="U46" s="69" t="s">
        <v>55</v>
      </c>
      <c r="V46" s="69" t="s">
        <v>54</v>
      </c>
      <c r="W46" s="21"/>
      <c r="X46" s="21" t="s">
        <v>118</v>
      </c>
      <c r="Y46" s="21">
        <v>781427408</v>
      </c>
      <c r="Z46" s="21">
        <v>781427408</v>
      </c>
    </row>
    <row r="47" spans="1:26" ht="25.05" customHeight="1" x14ac:dyDescent="0.3">
      <c r="A47" s="21">
        <f t="shared" si="0"/>
        <v>42</v>
      </c>
      <c r="B47" s="21" t="s">
        <v>180</v>
      </c>
      <c r="C47" s="21" t="s">
        <v>181</v>
      </c>
      <c r="D47" s="21" t="s">
        <v>182</v>
      </c>
      <c r="E47" s="21" t="s">
        <v>46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3">
        <v>38596</v>
      </c>
      <c r="Q47" s="21" t="s">
        <v>183</v>
      </c>
      <c r="R47" s="69" t="s">
        <v>54</v>
      </c>
      <c r="S47" s="69" t="s">
        <v>54</v>
      </c>
      <c r="T47" s="69" t="s">
        <v>54</v>
      </c>
      <c r="U47" s="69" t="s">
        <v>79</v>
      </c>
      <c r="V47" s="69" t="s">
        <v>55</v>
      </c>
      <c r="W47" s="21"/>
      <c r="X47" s="21" t="s">
        <v>129</v>
      </c>
      <c r="Y47" s="21">
        <v>765438333</v>
      </c>
      <c r="Z47" s="21">
        <v>787527075</v>
      </c>
    </row>
    <row r="48" spans="1:26" ht="25.05" customHeight="1" x14ac:dyDescent="0.3">
      <c r="A48" s="21">
        <f t="shared" si="0"/>
        <v>43</v>
      </c>
      <c r="B48" s="21" t="s">
        <v>71</v>
      </c>
      <c r="C48" s="21" t="s">
        <v>72</v>
      </c>
      <c r="D48" s="21"/>
      <c r="E48" s="21" t="s">
        <v>38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 t="s">
        <v>73</v>
      </c>
      <c r="Q48" s="21" t="s">
        <v>74</v>
      </c>
      <c r="R48" s="69" t="s">
        <v>54</v>
      </c>
      <c r="S48" s="69" t="s">
        <v>55</v>
      </c>
      <c r="T48" s="69" t="s">
        <v>54</v>
      </c>
      <c r="U48" s="69" t="s">
        <v>55</v>
      </c>
      <c r="V48" s="69" t="s">
        <v>54</v>
      </c>
      <c r="W48" s="21"/>
      <c r="X48" s="21" t="s">
        <v>67</v>
      </c>
      <c r="Y48" s="21">
        <v>744255677</v>
      </c>
      <c r="Z48" s="21">
        <v>700768295</v>
      </c>
    </row>
    <row r="49" spans="1:26" ht="25.05" customHeight="1" x14ac:dyDescent="0.3">
      <c r="A49" s="21">
        <f t="shared" si="0"/>
        <v>44</v>
      </c>
      <c r="B49" s="21" t="s">
        <v>113</v>
      </c>
      <c r="C49" s="21" t="s">
        <v>114</v>
      </c>
      <c r="D49" s="21" t="s">
        <v>115</v>
      </c>
      <c r="E49" s="21" t="s">
        <v>38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44" t="s">
        <v>117</v>
      </c>
      <c r="Q49" s="21" t="s">
        <v>116</v>
      </c>
      <c r="R49" s="69" t="s">
        <v>54</v>
      </c>
      <c r="S49" s="69" t="s">
        <v>54</v>
      </c>
      <c r="T49" s="69" t="s">
        <v>54</v>
      </c>
      <c r="U49" s="69" t="s">
        <v>55</v>
      </c>
      <c r="V49" s="69" t="s">
        <v>54</v>
      </c>
      <c r="W49" s="21"/>
      <c r="X49" s="21" t="s">
        <v>118</v>
      </c>
      <c r="Y49" s="21">
        <v>768243450</v>
      </c>
      <c r="Z49" s="21">
        <v>771588493</v>
      </c>
    </row>
    <row r="50" spans="1:26" ht="25.05" customHeight="1" x14ac:dyDescent="0.3">
      <c r="A50" s="21">
        <f t="shared" si="0"/>
        <v>45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69"/>
      <c r="S50" s="69"/>
      <c r="T50" s="69"/>
      <c r="U50" s="69"/>
      <c r="V50" s="69"/>
      <c r="W50" s="21"/>
      <c r="X50" s="21"/>
      <c r="Y50" s="21"/>
      <c r="Z50" s="21"/>
    </row>
    <row r="66" spans="1:22" ht="17.399999999999999" x14ac:dyDescent="0.3">
      <c r="A66" s="100" t="s">
        <v>368</v>
      </c>
      <c r="B66" s="100"/>
      <c r="C66" s="100"/>
      <c r="D66" s="100"/>
      <c r="E66" s="100"/>
      <c r="F66" s="100"/>
      <c r="G66" s="100"/>
      <c r="H66" s="100"/>
      <c r="I66" s="100"/>
      <c r="Q66" s="66"/>
      <c r="R66" s="66"/>
      <c r="S66" s="66"/>
      <c r="T66" s="66"/>
      <c r="U66" s="66"/>
    </row>
    <row r="67" spans="1:22" ht="16.2" x14ac:dyDescent="0.35">
      <c r="A67" s="101" t="s">
        <v>380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</row>
    <row r="71" spans="1:22" ht="42" x14ac:dyDescent="0.3">
      <c r="A71" s="13"/>
      <c r="B71" s="13" t="s">
        <v>20</v>
      </c>
      <c r="C71" s="13" t="s">
        <v>4</v>
      </c>
      <c r="D71" s="10" t="s">
        <v>5</v>
      </c>
      <c r="E71" s="13" t="s">
        <v>6</v>
      </c>
      <c r="F71" s="13" t="s">
        <v>61</v>
      </c>
      <c r="G71" s="36" t="s">
        <v>372</v>
      </c>
      <c r="H71" s="36" t="s">
        <v>373</v>
      </c>
      <c r="I71" s="36" t="s">
        <v>374</v>
      </c>
      <c r="J71" s="36" t="s">
        <v>375</v>
      </c>
      <c r="K71" s="32" t="s">
        <v>376</v>
      </c>
      <c r="L71" s="32" t="s">
        <v>377</v>
      </c>
      <c r="M71" s="79" t="s">
        <v>378</v>
      </c>
      <c r="N71" s="36" t="s">
        <v>379</v>
      </c>
    </row>
    <row r="72" spans="1:22" ht="25.05" customHeight="1" x14ac:dyDescent="0.3">
      <c r="A72" s="21">
        <f t="shared" ref="A72:A81" si="1">1+A71</f>
        <v>1</v>
      </c>
      <c r="B72" s="21" t="s">
        <v>100</v>
      </c>
      <c r="C72" s="21" t="s">
        <v>101</v>
      </c>
      <c r="D72" s="21"/>
      <c r="E72" s="21" t="s">
        <v>38</v>
      </c>
      <c r="F72" s="21"/>
      <c r="G72" s="11"/>
      <c r="H72" s="11"/>
      <c r="I72" s="11"/>
      <c r="J72" s="11"/>
      <c r="K72" s="11"/>
      <c r="L72" s="11"/>
      <c r="M72" s="11"/>
      <c r="N72" s="11"/>
    </row>
    <row r="73" spans="1:22" ht="25.05" customHeight="1" x14ac:dyDescent="0.3">
      <c r="A73" s="21">
        <f t="shared" si="1"/>
        <v>2</v>
      </c>
      <c r="B73" s="21" t="s">
        <v>162</v>
      </c>
      <c r="C73" s="21" t="s">
        <v>163</v>
      </c>
      <c r="D73" s="21" t="s">
        <v>164</v>
      </c>
      <c r="E73" s="21" t="s">
        <v>38</v>
      </c>
      <c r="F73" s="21"/>
      <c r="G73" s="11"/>
      <c r="H73" s="11"/>
      <c r="I73" s="11"/>
      <c r="J73" s="11"/>
      <c r="K73" s="11"/>
      <c r="L73" s="11"/>
      <c r="M73" s="11"/>
      <c r="N73" s="11"/>
    </row>
    <row r="74" spans="1:22" ht="25.05" customHeight="1" x14ac:dyDescent="0.3">
      <c r="A74" s="21">
        <f t="shared" si="1"/>
        <v>3</v>
      </c>
      <c r="B74" s="21" t="s">
        <v>81</v>
      </c>
      <c r="C74" s="21" t="s">
        <v>82</v>
      </c>
      <c r="D74" s="21"/>
      <c r="E74" s="21" t="s">
        <v>38</v>
      </c>
      <c r="F74" s="21"/>
      <c r="G74" s="11"/>
      <c r="H74" s="11"/>
      <c r="I74" s="11"/>
      <c r="J74" s="11"/>
      <c r="K74" s="11"/>
      <c r="L74" s="11"/>
      <c r="M74" s="11"/>
      <c r="N74" s="11"/>
    </row>
    <row r="75" spans="1:22" ht="25.05" customHeight="1" x14ac:dyDescent="0.3">
      <c r="A75" s="21">
        <f t="shared" si="1"/>
        <v>4</v>
      </c>
      <c r="B75" s="21" t="s">
        <v>139</v>
      </c>
      <c r="C75" s="21" t="s">
        <v>311</v>
      </c>
      <c r="D75" s="21"/>
      <c r="E75" s="21" t="s">
        <v>38</v>
      </c>
      <c r="F75" s="21"/>
      <c r="G75" s="11"/>
      <c r="H75" s="11"/>
      <c r="I75" s="11"/>
      <c r="J75" s="11"/>
      <c r="K75" s="11"/>
      <c r="L75" s="11"/>
      <c r="M75" s="11"/>
      <c r="N75" s="11"/>
    </row>
    <row r="76" spans="1:22" ht="25.05" customHeight="1" x14ac:dyDescent="0.3">
      <c r="A76" s="21">
        <f t="shared" si="1"/>
        <v>5</v>
      </c>
      <c r="B76" s="21" t="s">
        <v>329</v>
      </c>
      <c r="C76" s="21" t="s">
        <v>330</v>
      </c>
      <c r="D76" s="21" t="s">
        <v>331</v>
      </c>
      <c r="E76" s="21" t="s">
        <v>38</v>
      </c>
      <c r="F76" s="21"/>
      <c r="G76" s="11"/>
      <c r="H76" s="11"/>
      <c r="I76" s="11"/>
      <c r="J76" s="11"/>
      <c r="K76" s="11"/>
      <c r="L76" s="11"/>
      <c r="M76" s="11"/>
      <c r="N76" s="11"/>
    </row>
    <row r="77" spans="1:22" ht="25.05" customHeight="1" x14ac:dyDescent="0.3">
      <c r="A77" s="21">
        <f t="shared" si="1"/>
        <v>6</v>
      </c>
      <c r="B77" s="21" t="s">
        <v>149</v>
      </c>
      <c r="C77" s="21" t="s">
        <v>150</v>
      </c>
      <c r="D77" s="21" t="s">
        <v>151</v>
      </c>
      <c r="E77" s="21" t="s">
        <v>38</v>
      </c>
      <c r="F77" s="21"/>
      <c r="G77" s="11"/>
      <c r="H77" s="11"/>
      <c r="I77" s="11"/>
      <c r="J77" s="11"/>
      <c r="K77" s="11"/>
      <c r="L77" s="11"/>
      <c r="M77" s="11"/>
      <c r="N77" s="11"/>
    </row>
    <row r="78" spans="1:22" ht="25.05" customHeight="1" x14ac:dyDescent="0.3">
      <c r="A78" s="21">
        <f t="shared" si="1"/>
        <v>7</v>
      </c>
      <c r="B78" s="21" t="s">
        <v>184</v>
      </c>
      <c r="C78" s="21" t="s">
        <v>185</v>
      </c>
      <c r="D78" s="21"/>
      <c r="E78" s="21" t="s">
        <v>38</v>
      </c>
      <c r="F78" s="21"/>
      <c r="G78" s="11"/>
      <c r="H78" s="11"/>
      <c r="I78" s="11"/>
      <c r="J78" s="11"/>
      <c r="K78" s="11"/>
      <c r="L78" s="11"/>
      <c r="M78" s="11"/>
      <c r="N78" s="11"/>
    </row>
    <row r="79" spans="1:22" ht="25.05" customHeight="1" x14ac:dyDescent="0.3">
      <c r="A79" s="21">
        <f t="shared" si="1"/>
        <v>8</v>
      </c>
      <c r="B79" s="21" t="s">
        <v>213</v>
      </c>
      <c r="C79" s="21" t="s">
        <v>214</v>
      </c>
      <c r="D79" s="21"/>
      <c r="E79" s="21" t="s">
        <v>38</v>
      </c>
      <c r="F79" s="21"/>
      <c r="G79" s="11"/>
      <c r="H79" s="11"/>
      <c r="I79" s="11"/>
      <c r="J79" s="11"/>
      <c r="K79" s="11"/>
      <c r="L79" s="11"/>
      <c r="M79" s="11"/>
      <c r="N79" s="11"/>
    </row>
    <row r="80" spans="1:22" ht="25.05" customHeight="1" x14ac:dyDescent="0.3">
      <c r="A80" s="21">
        <f t="shared" si="1"/>
        <v>9</v>
      </c>
      <c r="B80" s="21" t="s">
        <v>342</v>
      </c>
      <c r="C80" s="21" t="s">
        <v>343</v>
      </c>
      <c r="D80" s="21"/>
      <c r="E80" s="21" t="s">
        <v>38</v>
      </c>
      <c r="F80" s="21"/>
      <c r="G80" s="11"/>
      <c r="H80" s="11"/>
      <c r="I80" s="11"/>
      <c r="J80" s="11"/>
      <c r="K80" s="11"/>
      <c r="L80" s="11"/>
      <c r="M80" s="11"/>
      <c r="N80" s="11"/>
    </row>
    <row r="81" spans="1:14" ht="25.05" customHeight="1" x14ac:dyDescent="0.3">
      <c r="A81" s="21">
        <f t="shared" si="1"/>
        <v>10</v>
      </c>
      <c r="B81" s="21" t="s">
        <v>75</v>
      </c>
      <c r="C81" s="21" t="s">
        <v>76</v>
      </c>
      <c r="D81" s="21" t="s">
        <v>77</v>
      </c>
      <c r="E81" s="21" t="s">
        <v>38</v>
      </c>
      <c r="F81" s="21"/>
      <c r="G81" s="11"/>
      <c r="H81" s="11"/>
      <c r="I81" s="11"/>
      <c r="J81" s="11"/>
      <c r="K81" s="11"/>
      <c r="L81" s="11"/>
      <c r="M81" s="11"/>
      <c r="N81" s="11"/>
    </row>
  </sheetData>
  <sortState ref="A73:M82">
    <sortCondition ref="B73"/>
  </sortState>
  <mergeCells count="6">
    <mergeCell ref="B2:J2"/>
    <mergeCell ref="A66:I66"/>
    <mergeCell ref="A67:V67"/>
    <mergeCell ref="C1:O1"/>
    <mergeCell ref="B3:W3"/>
    <mergeCell ref="B4:E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25"/>
  <sheetViews>
    <sheetView workbookViewId="0">
      <selection activeCell="J27" sqref="J27"/>
    </sheetView>
  </sheetViews>
  <sheetFormatPr defaultRowHeight="14.4" x14ac:dyDescent="0.3"/>
  <cols>
    <col min="1" max="1" width="2.77734375" customWidth="1"/>
    <col min="2" max="2" width="15.109375" customWidth="1"/>
    <col min="3" max="3" width="11.5546875" customWidth="1"/>
    <col min="4" max="4" width="10.33203125" customWidth="1"/>
    <col min="5" max="5" width="4" customWidth="1"/>
    <col min="6" max="6" width="6.77734375" customWidth="1"/>
    <col min="7" max="7" width="7.6640625" customWidth="1"/>
    <col min="8" max="8" width="7" customWidth="1"/>
    <col min="9" max="9" width="8.6640625" customWidth="1"/>
    <col min="10" max="10" width="7" customWidth="1"/>
    <col min="11" max="11" width="6.6640625" customWidth="1"/>
    <col min="12" max="12" width="9" customWidth="1"/>
    <col min="13" max="13" width="10.21875" customWidth="1"/>
  </cols>
  <sheetData>
    <row r="2" spans="1:26" ht="17.399999999999999" x14ac:dyDescent="0.3">
      <c r="B2" s="100" t="s">
        <v>368</v>
      </c>
      <c r="C2" s="100"/>
      <c r="D2" s="100"/>
      <c r="E2" s="100"/>
      <c r="F2" s="100"/>
      <c r="G2" s="100"/>
      <c r="H2" s="100"/>
      <c r="I2" s="100"/>
      <c r="R2" s="66"/>
      <c r="S2" s="66"/>
      <c r="T2" s="66"/>
      <c r="U2" s="66"/>
      <c r="V2" s="66"/>
    </row>
    <row r="3" spans="1:26" ht="16.2" x14ac:dyDescent="0.35">
      <c r="B3" s="101" t="s">
        <v>381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</row>
    <row r="5" spans="1:26" ht="52.2" customHeight="1" x14ac:dyDescent="0.3">
      <c r="A5" s="2"/>
      <c r="B5" s="2" t="s">
        <v>20</v>
      </c>
      <c r="C5" s="35" t="s">
        <v>4</v>
      </c>
      <c r="D5" s="4" t="s">
        <v>5</v>
      </c>
      <c r="E5" s="5" t="s">
        <v>6</v>
      </c>
      <c r="F5" s="4" t="s">
        <v>382</v>
      </c>
      <c r="G5" s="4" t="s">
        <v>383</v>
      </c>
      <c r="H5" s="4" t="s">
        <v>384</v>
      </c>
      <c r="I5" s="4" t="s">
        <v>385</v>
      </c>
      <c r="J5" s="4" t="s">
        <v>387</v>
      </c>
      <c r="K5" s="4" t="s">
        <v>388</v>
      </c>
      <c r="L5" s="4" t="s">
        <v>378</v>
      </c>
      <c r="M5" s="4" t="s">
        <v>386</v>
      </c>
      <c r="N5" s="6" t="s">
        <v>7</v>
      </c>
      <c r="O5" s="7" t="s">
        <v>8</v>
      </c>
      <c r="P5" s="8" t="s">
        <v>9</v>
      </c>
      <c r="Q5" s="9" t="s">
        <v>10</v>
      </c>
      <c r="R5" s="6" t="s">
        <v>11</v>
      </c>
      <c r="S5" s="9" t="s">
        <v>12</v>
      </c>
      <c r="T5" s="9" t="s">
        <v>13</v>
      </c>
      <c r="U5" s="9" t="s">
        <v>14</v>
      </c>
      <c r="V5" s="76" t="s">
        <v>15</v>
      </c>
      <c r="W5" s="36" t="s">
        <v>16</v>
      </c>
      <c r="X5" s="10" t="s">
        <v>17</v>
      </c>
      <c r="Y5" s="10" t="s">
        <v>18</v>
      </c>
      <c r="Z5" s="10" t="s">
        <v>19</v>
      </c>
    </row>
    <row r="6" spans="1:26" ht="25.05" customHeight="1" x14ac:dyDescent="0.3">
      <c r="A6" s="21">
        <f t="shared" ref="A6:A21" si="0">1+A5</f>
        <v>1</v>
      </c>
      <c r="B6" s="21" t="s">
        <v>191</v>
      </c>
      <c r="C6" s="31" t="s">
        <v>192</v>
      </c>
      <c r="D6" s="21"/>
      <c r="E6" s="21" t="s">
        <v>46</v>
      </c>
      <c r="F6" s="21"/>
      <c r="G6" s="21"/>
      <c r="H6" s="21"/>
      <c r="I6" s="21"/>
      <c r="J6" s="21"/>
      <c r="K6" s="21"/>
      <c r="L6" s="21"/>
      <c r="M6" s="21"/>
      <c r="N6" s="21" t="s">
        <v>193</v>
      </c>
      <c r="O6" s="21"/>
      <c r="P6" s="21" t="s">
        <v>194</v>
      </c>
      <c r="Q6" s="21"/>
      <c r="R6" s="21"/>
      <c r="S6" s="21"/>
      <c r="T6" s="21"/>
      <c r="U6" s="21"/>
      <c r="V6" s="21"/>
      <c r="W6" s="21">
        <v>788616628</v>
      </c>
      <c r="X6" s="21"/>
      <c r="Y6" s="21">
        <v>777705250</v>
      </c>
      <c r="Z6" s="21"/>
    </row>
    <row r="7" spans="1:26" ht="25.05" customHeight="1" x14ac:dyDescent="0.3">
      <c r="A7" s="21">
        <f t="shared" si="0"/>
        <v>2</v>
      </c>
      <c r="B7" s="21" t="s">
        <v>43</v>
      </c>
      <c r="C7" s="21" t="s">
        <v>44</v>
      </c>
      <c r="D7" s="21" t="s">
        <v>45</v>
      </c>
      <c r="E7" s="21" t="s">
        <v>46</v>
      </c>
      <c r="F7" s="21"/>
      <c r="G7" s="21"/>
      <c r="H7" s="21"/>
      <c r="I7" s="21"/>
      <c r="J7" s="21"/>
      <c r="K7" s="21"/>
      <c r="L7" s="21"/>
      <c r="M7" s="21"/>
      <c r="N7" s="21" t="s">
        <v>47</v>
      </c>
      <c r="O7" s="21"/>
      <c r="P7" s="21" t="s">
        <v>48</v>
      </c>
      <c r="Q7" s="21"/>
      <c r="R7" s="21"/>
      <c r="S7" s="21"/>
      <c r="T7" s="21"/>
      <c r="U7" s="21"/>
      <c r="V7" s="21"/>
      <c r="W7" s="21">
        <v>766118163</v>
      </c>
      <c r="X7" s="21" t="s">
        <v>49</v>
      </c>
      <c r="Y7" s="21">
        <v>756469365</v>
      </c>
      <c r="Z7" s="21"/>
    </row>
    <row r="8" spans="1:26" ht="25.05" customHeight="1" x14ac:dyDescent="0.3">
      <c r="A8" s="21">
        <f t="shared" si="0"/>
        <v>3</v>
      </c>
      <c r="B8" s="21" t="s">
        <v>68</v>
      </c>
      <c r="C8" s="21" t="s">
        <v>69</v>
      </c>
      <c r="D8" s="21"/>
      <c r="E8" s="21" t="s">
        <v>46</v>
      </c>
      <c r="F8" s="21"/>
      <c r="G8" s="21"/>
      <c r="H8" s="21"/>
      <c r="I8" s="21"/>
      <c r="J8" s="21"/>
      <c r="K8" s="21"/>
      <c r="L8" s="21"/>
      <c r="M8" s="21"/>
      <c r="N8" s="21" t="s">
        <v>349</v>
      </c>
      <c r="O8" s="21"/>
      <c r="P8" s="21" t="s">
        <v>70</v>
      </c>
      <c r="Q8" s="21"/>
      <c r="R8" s="21"/>
      <c r="S8" s="21"/>
      <c r="T8" s="21"/>
      <c r="U8" s="21"/>
      <c r="V8" s="21"/>
      <c r="W8" s="21">
        <v>700120378</v>
      </c>
      <c r="X8" s="21" t="s">
        <v>41</v>
      </c>
      <c r="Y8" s="21">
        <v>756525134</v>
      </c>
      <c r="Z8" s="21"/>
    </row>
    <row r="9" spans="1:26" ht="25.05" customHeight="1" x14ac:dyDescent="0.3">
      <c r="A9" s="21">
        <f t="shared" si="0"/>
        <v>4</v>
      </c>
      <c r="B9" s="21" t="s">
        <v>281</v>
      </c>
      <c r="C9" s="21" t="s">
        <v>282</v>
      </c>
      <c r="D9" s="21" t="s">
        <v>283</v>
      </c>
      <c r="E9" s="21" t="s">
        <v>46</v>
      </c>
      <c r="F9" s="21"/>
      <c r="G9" s="21"/>
      <c r="H9" s="21"/>
      <c r="I9" s="21"/>
      <c r="J9" s="21"/>
      <c r="K9" s="21"/>
      <c r="L9" s="21"/>
      <c r="M9" s="21"/>
      <c r="N9" s="21" t="s">
        <v>284</v>
      </c>
      <c r="O9" s="21"/>
      <c r="P9" s="21" t="s">
        <v>285</v>
      </c>
      <c r="Q9" s="21"/>
      <c r="R9" s="21"/>
      <c r="S9" s="21"/>
      <c r="T9" s="21"/>
      <c r="U9" s="21"/>
      <c r="V9" s="21"/>
      <c r="W9" s="21">
        <v>700850858</v>
      </c>
      <c r="X9" s="21" t="s">
        <v>220</v>
      </c>
      <c r="Y9" s="21">
        <v>753376637</v>
      </c>
      <c r="Z9" s="21"/>
    </row>
    <row r="10" spans="1:26" ht="25.05" customHeight="1" x14ac:dyDescent="0.3">
      <c r="A10" s="21">
        <f t="shared" si="0"/>
        <v>5</v>
      </c>
      <c r="B10" s="21" t="s">
        <v>229</v>
      </c>
      <c r="C10" s="21" t="s">
        <v>230</v>
      </c>
      <c r="D10" s="21" t="s">
        <v>231</v>
      </c>
      <c r="E10" s="21" t="s">
        <v>46</v>
      </c>
      <c r="F10" s="21"/>
      <c r="G10" s="21"/>
      <c r="H10" s="21"/>
      <c r="I10" s="21"/>
      <c r="J10" s="21"/>
      <c r="K10" s="21"/>
      <c r="L10" s="21"/>
      <c r="M10" s="21"/>
      <c r="N10" s="21" t="s">
        <v>232</v>
      </c>
      <c r="O10" s="21"/>
      <c r="P10" s="21" t="s">
        <v>233</v>
      </c>
      <c r="Q10" s="21"/>
      <c r="R10" s="21"/>
      <c r="S10" s="21"/>
      <c r="T10" s="21"/>
      <c r="U10" s="21"/>
      <c r="V10" s="21"/>
      <c r="W10" s="21">
        <v>773521623</v>
      </c>
      <c r="X10" s="21" t="s">
        <v>85</v>
      </c>
      <c r="Y10" s="21">
        <v>755618019</v>
      </c>
      <c r="Z10" s="21"/>
    </row>
    <row r="11" spans="1:26" ht="25.05" customHeight="1" x14ac:dyDescent="0.3">
      <c r="A11" s="21">
        <f>1+A10</f>
        <v>6</v>
      </c>
      <c r="B11" s="21" t="s">
        <v>169</v>
      </c>
      <c r="C11" s="21" t="s">
        <v>170</v>
      </c>
      <c r="D11" s="21" t="s">
        <v>171</v>
      </c>
      <c r="E11" s="21" t="s">
        <v>46</v>
      </c>
      <c r="F11" s="21"/>
      <c r="G11" s="21"/>
      <c r="H11" s="21"/>
      <c r="I11" s="21"/>
      <c r="J11" s="21"/>
      <c r="K11" s="21"/>
      <c r="L11" s="21"/>
      <c r="M11" s="21"/>
      <c r="N11" s="21" t="s">
        <v>172</v>
      </c>
      <c r="O11" s="21"/>
      <c r="P11" s="21" t="s">
        <v>173</v>
      </c>
      <c r="Q11" s="21"/>
      <c r="R11" s="21"/>
      <c r="S11" s="21"/>
      <c r="T11" s="21"/>
      <c r="U11" s="21"/>
      <c r="V11" s="21"/>
      <c r="W11" s="21">
        <v>755962345</v>
      </c>
      <c r="X11" s="21" t="s">
        <v>80</v>
      </c>
      <c r="Y11" s="21">
        <v>757840301</v>
      </c>
      <c r="Z11" s="21"/>
    </row>
    <row r="12" spans="1:26" ht="25.05" customHeight="1" x14ac:dyDescent="0.3">
      <c r="A12" s="21">
        <f t="shared" si="0"/>
        <v>7</v>
      </c>
      <c r="B12" s="21" t="s">
        <v>110</v>
      </c>
      <c r="C12" s="21" t="s">
        <v>111</v>
      </c>
      <c r="D12" s="21"/>
      <c r="E12" s="21" t="s">
        <v>38</v>
      </c>
      <c r="F12" s="21"/>
      <c r="G12" s="21"/>
      <c r="H12" s="21"/>
      <c r="I12" s="21"/>
      <c r="J12" s="21"/>
      <c r="K12" s="21"/>
      <c r="L12" s="21"/>
      <c r="M12" s="21"/>
      <c r="N12" s="21" t="s">
        <v>350</v>
      </c>
      <c r="O12" s="21"/>
      <c r="P12" s="21" t="s">
        <v>112</v>
      </c>
      <c r="Q12" s="21"/>
      <c r="R12" s="21"/>
      <c r="S12" s="21"/>
      <c r="T12" s="21"/>
      <c r="U12" s="21"/>
      <c r="V12" s="21"/>
      <c r="W12" s="21">
        <v>747426917</v>
      </c>
      <c r="X12" s="21" t="s">
        <v>56</v>
      </c>
      <c r="Y12" s="21">
        <v>776669481</v>
      </c>
      <c r="Z12" s="21"/>
    </row>
    <row r="13" spans="1:26" ht="25.05" customHeight="1" x14ac:dyDescent="0.3">
      <c r="A13" s="21">
        <f t="shared" si="0"/>
        <v>8</v>
      </c>
      <c r="B13" s="21" t="s">
        <v>139</v>
      </c>
      <c r="C13" s="21" t="s">
        <v>106</v>
      </c>
      <c r="D13" s="21"/>
      <c r="E13" s="21" t="s">
        <v>38</v>
      </c>
      <c r="F13" s="21"/>
      <c r="G13" s="21"/>
      <c r="H13" s="21"/>
      <c r="I13" s="21"/>
      <c r="J13" s="21"/>
      <c r="K13" s="21"/>
      <c r="L13" s="21"/>
      <c r="M13" s="21"/>
      <c r="N13" s="21" t="s">
        <v>140</v>
      </c>
      <c r="O13" s="21"/>
      <c r="P13" s="21" t="s">
        <v>141</v>
      </c>
      <c r="Q13" s="21"/>
      <c r="R13" s="21"/>
      <c r="S13" s="21"/>
      <c r="T13" s="21"/>
      <c r="U13" s="21"/>
      <c r="V13" s="21"/>
      <c r="W13" s="21">
        <v>780373956</v>
      </c>
      <c r="X13" s="21" t="s">
        <v>85</v>
      </c>
      <c r="Y13" s="21">
        <v>754707168</v>
      </c>
      <c r="Z13" s="21"/>
    </row>
    <row r="14" spans="1:26" ht="25.05" customHeight="1" x14ac:dyDescent="0.3">
      <c r="A14" s="21">
        <f t="shared" si="0"/>
        <v>9</v>
      </c>
      <c r="B14" s="21" t="s">
        <v>221</v>
      </c>
      <c r="C14" s="21" t="s">
        <v>222</v>
      </c>
      <c r="D14" s="21"/>
      <c r="E14" s="21" t="s">
        <v>38</v>
      </c>
      <c r="F14" s="21"/>
      <c r="G14" s="21"/>
      <c r="H14" s="21"/>
      <c r="I14" s="21"/>
      <c r="J14" s="21"/>
      <c r="K14" s="21"/>
      <c r="L14" s="21"/>
      <c r="M14" s="21"/>
      <c r="N14" s="21" t="s">
        <v>223</v>
      </c>
      <c r="O14" s="21"/>
      <c r="P14" s="21" t="s">
        <v>224</v>
      </c>
      <c r="Q14" s="21"/>
      <c r="R14" s="21"/>
      <c r="S14" s="21"/>
      <c r="T14" s="21"/>
      <c r="U14" s="21"/>
      <c r="V14" s="21"/>
      <c r="W14" s="21">
        <v>703933426</v>
      </c>
      <c r="X14" s="21"/>
      <c r="Y14" s="21">
        <v>703739946</v>
      </c>
      <c r="Z14" s="21"/>
    </row>
    <row r="15" spans="1:26" ht="25.05" customHeight="1" x14ac:dyDescent="0.3">
      <c r="A15" s="21">
        <f t="shared" si="0"/>
        <v>10</v>
      </c>
      <c r="B15" s="31" t="s">
        <v>130</v>
      </c>
      <c r="C15" s="21" t="s">
        <v>131</v>
      </c>
      <c r="D15" s="21"/>
      <c r="E15" s="21" t="s">
        <v>38</v>
      </c>
      <c r="F15" s="21"/>
      <c r="G15" s="21"/>
      <c r="H15" s="21"/>
      <c r="I15" s="21"/>
      <c r="J15" s="21"/>
      <c r="K15" s="21"/>
      <c r="L15" s="21"/>
      <c r="M15" s="21"/>
      <c r="N15" s="21" t="s">
        <v>132</v>
      </c>
      <c r="O15" s="21"/>
      <c r="P15" s="21" t="s">
        <v>133</v>
      </c>
      <c r="Q15" s="21"/>
      <c r="R15" s="21"/>
      <c r="S15" s="21"/>
      <c r="T15" s="21"/>
      <c r="U15" s="21"/>
      <c r="V15" s="21"/>
      <c r="W15" s="21">
        <v>750096877</v>
      </c>
      <c r="X15" s="21" t="s">
        <v>41</v>
      </c>
      <c r="Y15" s="21">
        <v>758953616</v>
      </c>
      <c r="Z15" s="21"/>
    </row>
    <row r="16" spans="1:26" ht="25.05" customHeight="1" x14ac:dyDescent="0.3">
      <c r="A16" s="21">
        <f t="shared" si="0"/>
        <v>11</v>
      </c>
      <c r="B16" s="21" t="s">
        <v>199</v>
      </c>
      <c r="C16" s="21" t="s">
        <v>182</v>
      </c>
      <c r="D16" s="21" t="s">
        <v>200</v>
      </c>
      <c r="E16" s="21" t="s">
        <v>46</v>
      </c>
      <c r="F16" s="21"/>
      <c r="G16" s="21"/>
      <c r="H16" s="21"/>
      <c r="I16" s="21"/>
      <c r="J16" s="21"/>
      <c r="K16" s="21"/>
      <c r="L16" s="21"/>
      <c r="M16" s="21"/>
      <c r="N16" s="21" t="s">
        <v>351</v>
      </c>
      <c r="O16" s="21"/>
      <c r="P16" s="21" t="s">
        <v>201</v>
      </c>
      <c r="Q16" s="21"/>
      <c r="R16" s="21"/>
      <c r="S16" s="21"/>
      <c r="T16" s="21"/>
      <c r="U16" s="21"/>
      <c r="V16" s="21"/>
      <c r="W16" s="21">
        <v>781930684</v>
      </c>
      <c r="X16" s="21"/>
      <c r="Y16" s="21">
        <v>756756670</v>
      </c>
      <c r="Z16" s="21"/>
    </row>
    <row r="17" spans="1:26" ht="25.05" customHeight="1" x14ac:dyDescent="0.3">
      <c r="A17" s="21">
        <f t="shared" si="0"/>
        <v>12</v>
      </c>
      <c r="B17" s="21" t="s">
        <v>266</v>
      </c>
      <c r="C17" s="21" t="s">
        <v>267</v>
      </c>
      <c r="D17" s="21" t="s">
        <v>268</v>
      </c>
      <c r="E17" s="21" t="s">
        <v>46</v>
      </c>
      <c r="F17" s="21"/>
      <c r="G17" s="21"/>
      <c r="H17" s="21"/>
      <c r="I17" s="21"/>
      <c r="J17" s="21"/>
      <c r="K17" s="21"/>
      <c r="L17" s="21"/>
      <c r="M17" s="21"/>
      <c r="N17" s="21" t="s">
        <v>269</v>
      </c>
      <c r="O17" s="21"/>
      <c r="P17" s="21" t="s">
        <v>270</v>
      </c>
      <c r="Q17" s="21"/>
      <c r="R17" s="21"/>
      <c r="S17" s="21"/>
      <c r="T17" s="21"/>
      <c r="U17" s="21"/>
      <c r="V17" s="21"/>
      <c r="W17" s="21">
        <v>781542725</v>
      </c>
      <c r="X17" s="21" t="s">
        <v>253</v>
      </c>
      <c r="Y17" s="21">
        <v>782015363</v>
      </c>
      <c r="Z17" s="21"/>
    </row>
    <row r="18" spans="1:26" ht="25.05" customHeight="1" x14ac:dyDescent="0.3">
      <c r="A18" s="21">
        <f t="shared" si="0"/>
        <v>13</v>
      </c>
      <c r="B18" s="21" t="s">
        <v>125</v>
      </c>
      <c r="C18" s="21" t="s">
        <v>126</v>
      </c>
      <c r="D18" s="21"/>
      <c r="E18" s="21" t="s">
        <v>38</v>
      </c>
      <c r="F18" s="21"/>
      <c r="G18" s="21"/>
      <c r="H18" s="21"/>
      <c r="I18" s="21"/>
      <c r="J18" s="21"/>
      <c r="K18" s="21"/>
      <c r="L18" s="21"/>
      <c r="M18" s="21"/>
      <c r="N18" s="21" t="s">
        <v>127</v>
      </c>
      <c r="O18" s="21"/>
      <c r="P18" s="21" t="s">
        <v>128</v>
      </c>
      <c r="Q18" s="21"/>
      <c r="R18" s="21"/>
      <c r="S18" s="21"/>
      <c r="T18" s="21"/>
      <c r="U18" s="21"/>
      <c r="V18" s="21"/>
      <c r="W18" s="21">
        <v>769265057</v>
      </c>
      <c r="X18" s="21" t="s">
        <v>129</v>
      </c>
      <c r="Y18" s="21">
        <v>788428374</v>
      </c>
      <c r="Z18" s="21"/>
    </row>
    <row r="19" spans="1:26" ht="25.05" customHeight="1" x14ac:dyDescent="0.3">
      <c r="A19" s="21">
        <f t="shared" si="0"/>
        <v>14</v>
      </c>
      <c r="B19" s="21" t="s">
        <v>352</v>
      </c>
      <c r="C19" s="21" t="s">
        <v>353</v>
      </c>
      <c r="D19" s="21"/>
      <c r="E19" s="21" t="s">
        <v>46</v>
      </c>
      <c r="F19" s="21"/>
      <c r="G19" s="21"/>
      <c r="H19" s="21"/>
      <c r="I19" s="21"/>
      <c r="J19" s="21"/>
      <c r="K19" s="21"/>
      <c r="L19" s="21"/>
      <c r="M19" s="21"/>
      <c r="N19" s="21" t="s">
        <v>357</v>
      </c>
      <c r="O19" s="21"/>
      <c r="P19" s="21" t="s">
        <v>358</v>
      </c>
      <c r="Q19" s="21"/>
      <c r="R19" s="21"/>
      <c r="S19" s="21"/>
      <c r="T19" s="21"/>
      <c r="U19" s="21"/>
      <c r="V19" s="21"/>
      <c r="W19" s="21">
        <v>755607163</v>
      </c>
      <c r="X19" s="21" t="s">
        <v>364</v>
      </c>
      <c r="Y19" s="21"/>
      <c r="Z19" s="21"/>
    </row>
    <row r="20" spans="1:26" ht="25.05" customHeight="1" x14ac:dyDescent="0.3">
      <c r="A20" s="21">
        <f t="shared" si="0"/>
        <v>15</v>
      </c>
      <c r="B20" s="21" t="s">
        <v>354</v>
      </c>
      <c r="C20" s="21" t="s">
        <v>361</v>
      </c>
      <c r="D20" s="21"/>
      <c r="E20" s="21" t="s">
        <v>38</v>
      </c>
      <c r="F20" s="21"/>
      <c r="G20" s="21"/>
      <c r="H20" s="21"/>
      <c r="I20" s="21"/>
      <c r="J20" s="21"/>
      <c r="K20" s="21"/>
      <c r="L20" s="21"/>
      <c r="M20" s="21"/>
      <c r="N20" s="21" t="s">
        <v>362</v>
      </c>
      <c r="O20" s="21"/>
      <c r="P20" s="21" t="s">
        <v>363</v>
      </c>
      <c r="Q20" s="21"/>
      <c r="R20" s="21"/>
      <c r="S20" s="21"/>
      <c r="T20" s="21"/>
      <c r="U20" s="21"/>
      <c r="V20" s="21"/>
      <c r="W20" s="21"/>
      <c r="X20" s="21" t="s">
        <v>293</v>
      </c>
      <c r="Y20" s="21"/>
      <c r="Z20" s="21"/>
    </row>
    <row r="21" spans="1:26" ht="25.05" customHeight="1" x14ac:dyDescent="0.3">
      <c r="A21" s="21">
        <f t="shared" si="0"/>
        <v>16</v>
      </c>
      <c r="B21" s="21" t="s">
        <v>355</v>
      </c>
      <c r="C21" s="21" t="s">
        <v>356</v>
      </c>
      <c r="D21" s="21"/>
      <c r="E21" s="21" t="s">
        <v>46</v>
      </c>
      <c r="F21" s="21"/>
      <c r="G21" s="21"/>
      <c r="H21" s="21"/>
      <c r="I21" s="21"/>
      <c r="J21" s="21"/>
      <c r="K21" s="21"/>
      <c r="L21" s="21"/>
      <c r="M21" s="21"/>
      <c r="N21" s="21" t="s">
        <v>359</v>
      </c>
      <c r="O21" s="21"/>
      <c r="P21" s="21" t="s">
        <v>360</v>
      </c>
      <c r="Q21" s="21"/>
      <c r="R21" s="21"/>
      <c r="S21" s="21"/>
      <c r="T21" s="21"/>
      <c r="U21" s="21"/>
      <c r="V21" s="21"/>
      <c r="W21" s="21">
        <v>773529295</v>
      </c>
      <c r="X21" s="21" t="s">
        <v>365</v>
      </c>
      <c r="Y21" s="21"/>
      <c r="Z21" s="21"/>
    </row>
    <row r="22" spans="1:26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3">
      <c r="A23" s="22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22"/>
      <c r="Y23" s="22"/>
      <c r="Z23" s="22"/>
    </row>
    <row r="24" spans="1:26" x14ac:dyDescent="0.3">
      <c r="A24" s="22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88"/>
      <c r="R24" s="88"/>
      <c r="S24" s="88"/>
      <c r="T24" s="88"/>
      <c r="U24" s="88"/>
      <c r="V24" s="88"/>
      <c r="W24" s="88"/>
      <c r="X24" s="22"/>
      <c r="Y24" s="22"/>
      <c r="Z24" s="22"/>
    </row>
    <row r="25" spans="1:26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</sheetData>
  <mergeCells count="3">
    <mergeCell ref="Q24:W24"/>
    <mergeCell ref="B2:I2"/>
    <mergeCell ref="B3:W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DNE </vt:lpstr>
      <vt:lpstr>DME</vt:lpstr>
      <vt:lpstr>CN</vt:lpstr>
      <vt:lpstr>CM</vt:lpstr>
      <vt:lpstr>Sheet1</vt:lpstr>
      <vt:lpstr>DNE 14</vt:lpstr>
      <vt:lpstr>DME 14</vt:lpstr>
      <vt:lpstr>SET 28 FIRST HOSPITAL ALLOCATIO</vt:lpstr>
      <vt:lpstr>Sheet3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ADMIN-SEC</dc:creator>
  <cp:lastModifiedBy>ADMIN-SEC</cp:lastModifiedBy>
  <cp:lastPrinted>2026-04-15T19:22:07Z</cp:lastPrinted>
  <dcterms:created xsi:type="dcterms:W3CDTF">2026-03-03T20:13:28Z</dcterms:created>
  <dcterms:modified xsi:type="dcterms:W3CDTF">2026-04-20T22:17:02Z</dcterms:modified>
</cp:coreProperties>
</file>